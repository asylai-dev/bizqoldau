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Инструкция" sheetId="1" state="visible" r:id="rId3"/>
    <sheet name="Программы" sheetId="2" state="visible" r:id="rId4"/>
    <sheet name="Словарь" sheetId="3" state="visible" r:id="rId5"/>
    <sheet name="Схема Airtable" sheetId="4" state="visible" r:id="rId6"/>
    <sheet name="План запуска" sheetId="5" state="visible" r:id="rId7"/>
    <sheet name="Метрики" sheetId="6" state="visible" r:id="rId8"/>
  </sheets>
  <definedNames>
    <definedName function="false" hidden="true" localSheetId="1" name="_xlnm._FilterDatabase" vbProcedure="false">Программы!$A$1:$N$51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<sst xmlns="http://schemas.openxmlformats.org/spreadsheetml/2006/main" count="614" uniqueCount="396">
  <si>
    <t xml:space="preserve">BizQoldau — рабочая книга MVP</t>
  </si>
  <si>
    <t xml:space="preserve">Цель</t>
  </si>
  <si>
    <t xml:space="preserve">BizQoldau: каталог-навигатор по грантам, субсидиям и льготам для предпринимателей Казахстана (фокус — Алматы). Сайт показывает подходящие программы, а заявку человек подаёт у государства. Стек: Airtable + Softr.</t>
  </si>
  <si>
    <t xml:space="preserve">Лист</t>
  </si>
  <si>
    <t xml:space="preserve">Что внутри</t>
  </si>
  <si>
    <t xml:space="preserve">Программы</t>
  </si>
  <si>
    <t xml:space="preserve">Стартовый каталог из открытых источников (сентябрь–октябрь 2026). Синий шрифт — вводимые данные, чёрный — формулы.</t>
  </si>
  <si>
    <t xml:space="preserve">Схема Airtable</t>
  </si>
  <si>
    <t xml:space="preserve">Поля таблиц Programs и Subscribers.</t>
  </si>
  <si>
    <t xml:space="preserve">План запуска</t>
  </si>
  <si>
    <t xml:space="preserve">План на 3 часа: часы и статусы редактируются, итоги считаются формулами.</t>
  </si>
  <si>
    <t xml:space="preserve">Метрики</t>
  </si>
  <si>
    <t xml:space="preserve">Вводите посетителей, подписки, клики; конверсии и статистика каталога считаются автоматически.</t>
  </si>
  <si>
    <t xml:space="preserve">Легенда</t>
  </si>
  <si>
    <t xml:space="preserve">Синий шрифт = ввод. Чёрный = формула. Жёлтая заливка = ключевое допущение, которое нужно заполнить.</t>
  </si>
  <si>
    <t xml:space="preserve">Важно</t>
  </si>
  <si>
    <t xml:space="preserve">Условия, суммы и сроки меняются. Перед публикацией сверяйте каждую программу с оператором и Реестром мер государственной поддержки. Программ, специфичных именно для Алматы (акимат, филиал «Даму», Атамекен), в списке мало — их нужно добавить вручную.</t>
  </si>
  <si>
    <t xml:space="preserve">Валюта</t>
  </si>
  <si>
    <t xml:space="preserve">Все суммы в тенге (₸). МРП — месячный расчётный показатель; по источнику 400 МРП ≈ 1,73 млн ₸ (МРП ≈ 4 325 ₸, допущение, проверьте актуальное значение).</t>
  </si>
  <si>
    <t xml:space="preserve">Название</t>
  </si>
  <si>
    <t xml:space="preserve">Оператор</t>
  </si>
  <si>
    <t xml:space="preserve">Тип</t>
  </si>
  <si>
    <t xml:space="preserve">Регион</t>
  </si>
  <si>
    <t xml:space="preserve">Сфера</t>
  </si>
  <si>
    <t xml:space="preserve">Кому подходит / условия</t>
  </si>
  <si>
    <t xml:space="preserve">Сумма / параметры</t>
  </si>
  <si>
    <t xml:space="preserve">Дедлайн</t>
  </si>
  <si>
    <t xml:space="preserve">Источник</t>
  </si>
  <si>
    <t xml:space="preserve">Статус</t>
  </si>
  <si>
    <t xml:space="preserve">Проверено</t>
  </si>
  <si>
    <t xml:space="preserve">Дней до дедлайна</t>
  </si>
  <si>
    <t xml:space="preserve">Флаг дедлайна</t>
  </si>
  <si>
    <t xml:space="preserve">Ключевые слова</t>
  </si>
  <si>
    <t xml:space="preserve">Кратко</t>
  </si>
  <si>
    <t xml:space="preserve">Подходит для</t>
  </si>
  <si>
    <t xml:space="preserve">Полное описание</t>
  </si>
  <si>
    <t xml:space="preserve">Требования</t>
  </si>
  <si>
    <t xml:space="preserve">Документы</t>
  </si>
  <si>
    <t xml:space="preserve">Как получить</t>
  </si>
  <si>
    <t xml:space="preserve">Официальный сайт</t>
  </si>
  <si>
    <t xml:space="preserve">Офиц. сайт проверен?</t>
  </si>
  <si>
    <t xml:space="preserve">Название (KK)</t>
  </si>
  <si>
    <t xml:space="preserve">Оператор (KK)</t>
  </si>
  <si>
    <t xml:space="preserve">Сумма / параметры (KK)</t>
  </si>
  <si>
    <t xml:space="preserve">Кому подходит / условия (KK)</t>
  </si>
  <si>
    <t xml:space="preserve">Кратко (KK)</t>
  </si>
  <si>
    <t xml:space="preserve">Подходит для (KK)</t>
  </si>
  <si>
    <t xml:space="preserve">Полное описание (KK)</t>
  </si>
  <si>
    <t xml:space="preserve">Требования (KK)</t>
  </si>
  <si>
    <t xml:space="preserve">Документы (KK)</t>
  </si>
  <si>
    <t xml:space="preserve">Как получить (KK)</t>
  </si>
  <si>
    <t xml:space="preserve">Ключевые слова (KK)</t>
  </si>
  <si>
    <t xml:space="preserve">Карточка на сайте: Кратко + Подходит для. Страница «Подробнее»: Полное описание, Требования, Документы, Как получить, кнопка на «Официальный сайт». Колонки «(KK)» — казахская версия; если поле пустое, сайт покажет русский текст. Переводы требуют проверки носителем языка.</t>
  </si>
  <si>
    <t xml:space="preserve">Грант на реализацию новых бизнес-идей</t>
  </si>
  <si>
    <t xml:space="preserve">Региональные операторы конкурса</t>
  </si>
  <si>
    <t xml:space="preserve">Грант</t>
  </si>
  <si>
    <t xml:space="preserve">Вся РК</t>
  </si>
  <si>
    <t xml:space="preserve">Все сферы</t>
  </si>
  <si>
    <t xml:space="preserve">Безработные и ИП до 1 года из установленных социальных категорий; нужны обучение «Бастау Бизнес», бизнес-план, конкурсный отбор</t>
  </si>
  <si>
    <t xml:space="preserve">до 400 МРП (≈1,73 млн ₸)</t>
  </si>
  <si>
    <t xml:space="preserve">https://finance.kz/articles/gosudarstvennye-programmy-podderzhki-predprinimateley</t>
  </si>
  <si>
    <t xml:space="preserve">Опубликовано</t>
  </si>
  <si>
    <t xml:space="preserve">кофейня кафе салон красоты магазин старт открытие начинающий</t>
  </si>
  <si>
    <t xml:space="preserve">Безвозмездный грант на запуск стартового бизнеса. Предоставляется однократно по итогам конкурса.</t>
  </si>
  <si>
    <t xml:space="preserve">• Безработные
• ИП до 1 года (из установленных социальных категорий)
• Начинающие предприниматели</t>
  </si>
  <si>
    <t xml:space="preserve">Государственный грант для запуска и реализации стартового бизнеса. При соблюдении условий предоставляется безвозмездно и безвозвратно, один раз. В 2026 году региональные объявления о приёме заявок указывали размер 400 МРП — 1,73 млн ₸.</t>
  </si>
  <si>
    <t xml:space="preserve">• Принадлежность к установленным социальным категориям
• Статус зарегистрированного безработного или ИП не более 1 года
• Обучение основам предпринимательства «Бастау Бизнес» (в отдельных случаях обязательно)
• Бизнес-план
• Участие в конкурсном отборе</t>
  </si>
  <si>
    <t xml:space="preserve">• Удостоверение личности
• Бизнес-план
• Сертификат обучения «Бастау Бизнес» (если требуется)
• Подтверждение социальной категории
• Регистрационные документы ИП (если есть)</t>
  </si>
  <si>
    <t xml:space="preserve">1. Определите бизнес-идею и проверьте, входите ли вы в одну из категорий получателей.
2. Пройдите обучение «Бастау Бизнес», если оно требуется.
3. Подготовьте бизнес-план.
4. Дождитесь объявления о приёме заявок в вашем регионе и подайте документы через указанный канал.</t>
  </si>
  <si>
    <t xml:space="preserve">Нет — добавить</t>
  </si>
  <si>
    <t xml:space="preserve">Жаңа бизнес-идеяларды іске асыруға арналған грант</t>
  </si>
  <si>
    <t xml:space="preserve">Конкурстың өңірлік операторлары</t>
  </si>
  <si>
    <t xml:space="preserve">400 АЕК-ге дейін (≈1,73 млн ₸)</t>
  </si>
  <si>
    <t xml:space="preserve">Белгіленген әлеуметтік санаттардағы жұмыссыздар және 1 жылға дейінгі ЖК; «Бастау Бизнес» оқытуы, бизнес-жоспар, конкурстық іріктеу қажет</t>
  </si>
  <si>
    <t xml:space="preserve">Бастапқы бизнесті бастауға арналған қайтарымсыз грант. Конкурс қорытындысы бойынша бір рет беріледі.</t>
  </si>
  <si>
    <t xml:space="preserve">• Жұмыссыздар
• Белгіленген әлеуметтік санаттағы 1 жылға дейінгі ЖК
• Бастаушы кәсіпкерлер</t>
  </si>
  <si>
    <t xml:space="preserve">Бастапқы бизнесті бастау және іске асыру үшін мемлекеттік грант. Шарттар сақталған жағдайда қайтарымсыз және қайтарусыз беріледі, бір рет. 2026 жылы өңірлердегі өтінім қабылдау туралы хабарландыруларда мөлшері 400 АЕК — 1,73 млн ₸ деп көрсетілген.</t>
  </si>
  <si>
    <t xml:space="preserve">• Белгіленген әлеуметтік санаттарға жату
• Тіркелген жұмыссыз немесе 1 жылдан аспайтын ЖК мәртебесі
• «Бастау Бизнес» кәсіпкерлік негіздеріне оқыту (кейбір жағдайларда міндетті)
• Бизнес-жоспар
• Конкурстық іріктеуге қатысу</t>
  </si>
  <si>
    <t xml:space="preserve">• Жеке куәлік
• Бизнес-жоспар
• «Бастау Бизнес» оқу сертификаты (қажет болса)
• Әлеуметтік санатты растау
• ЖК тіркеу құжаттары (болса)</t>
  </si>
  <si>
    <t xml:space="preserve">1. Бизнес-идеяны анықтап, алушылар санаттарының біріне жататыныңызды тексеріңіз.
2. Қажет болса, «Бастау Бизнес» оқуынан өтіңіз.
3. Бизнес-жоспарды дайындаңыз.
4. Өңіріңізде өтінім қабылдау туралы хабарландыруды күтіп, көрсетілген арна арқылы құжаттарды тапсырыңыз.</t>
  </si>
  <si>
    <t xml:space="preserve">кофехана кафе сұлулық салоны дүкен бастау ашу бастаушы жұмыссыз</t>
  </si>
  <si>
    <t xml:space="preserve">Грант для социального предпринимательства</t>
  </si>
  <si>
    <t xml:space="preserve">Реестр мер господдержки</t>
  </si>
  <si>
    <t xml:space="preserve">Социальное предпринимательство</t>
  </si>
  <si>
    <t xml:space="preserve">Субъекты социального предпринимательства; софинансирование, рабочие места, инвестплан</t>
  </si>
  <si>
    <t xml:space="preserve">до 5 млн ₸</t>
  </si>
  <si>
    <t xml:space="preserve">социальный инвалиды</t>
  </si>
  <si>
    <t xml:space="preserve">Грант на новые бизнес-идеи для субъектов социального предпринимательства.</t>
  </si>
  <si>
    <t xml:space="preserve">• Субъекты социального предпринимательства
• ИП
• ТОО</t>
  </si>
  <si>
    <t xml:space="preserve">Мера из официального Реестра: государственные гранты для реализации новых бизнес-идей субъектами социального предпринимательства. Размер — до 5 млн ₸, предусмотрены условия софинансирования и создания рабочих мест.</t>
  </si>
  <si>
    <t xml:space="preserve">• Подтверждённый статус субъекта социального предпринимательства
• Софинансирование проекта
• Создание рабочих мест
• Инвестиционный план</t>
  </si>
  <si>
    <t xml:space="preserve">• Удостоверение личности
• Регистрационные документы ИП или ТОО
• Бизнес-план и финансовые расчёты
• Сведения о проекте и документы на приобретаемое имущество
• Документы по залогу (если требуются)
• Подтверждение соответствия категории получателя</t>
  </si>
  <si>
    <t xml:space="preserve">1. Сначала подтвердите, что ваш бизнес относится к социальному предпринимательству.
2. Подготовьте документы.
3. Подайте заявку тем способом, который указан оператором (зависит от меры и региона).
4. Дождитесь решения. При отказе узнайте причину и возможность повторной подачи.</t>
  </si>
  <si>
    <t xml:space="preserve">Әлеуметтік кәсіпкерлікке арналған грант</t>
  </si>
  <si>
    <t xml:space="preserve">Мемлекеттік қолдау шараларының тізілімі</t>
  </si>
  <si>
    <t xml:space="preserve">5 млн ₸-ге дейін</t>
  </si>
  <si>
    <t xml:space="preserve">Әлеуметтік кәсіпкерлік субъектілері; бірлесіп қаржыландыру, жұмыс орындары, инвестициялық жоспар</t>
  </si>
  <si>
    <t xml:space="preserve">Әлеуметтік кәсіпкерлік субъектілеріне жаңа бизнес-идеяларға арналған грант.</t>
  </si>
  <si>
    <t xml:space="preserve">• Әлеуметтік кәсіпкерлік субъектілері
• ЖК
• ЖШС</t>
  </si>
  <si>
    <t xml:space="preserve">Ресми Тізілімдегі шара: әлеуметтік кәсіпкерлік субъектілерінің жаңа бизнес-идеяларын іске асыруға арналған мемлекеттік гранттар. Мөлшері — 5 млн ₸-ге дейін, бірлесіп қаржыландыру және жұмыс орындарын құру шарттары көзделген.</t>
  </si>
  <si>
    <t xml:space="preserve">• Әлеуметтік кәсіпкерлік субъектісінің расталған мәртебесі
• Жобаны бірлесіп қаржыландыру
• Жұмыс орындарын құру
• Инвестициялық жоспар</t>
  </si>
  <si>
    <t xml:space="preserve">• Жеке куәлік
• ЖК немесе ЖШС тіркеу құжаттары
• Бизнес-жоспар және қаржылық есептеулер
• Жоба туралы мәліметтер және сатып алынатын мүлікке құжаттар
• Кепіл құжаттары (қажет болса)
• Алушы санатына сәйкестікті растау</t>
  </si>
  <si>
    <t xml:space="preserve">1. Алдымен бизнесіңіздің әлеуметтік кәсіпкерлікке жататынын растаңыз.
2. Құжаттарды дайындаңыз.
3. Өтінімді оператор көрсеткен тәсілмен беріңіз (шара мен өңірге байланысты).
4. Шешімді күтіңіз. Бас тартылған жағдайда себебін және қайта өтінім беру мүмкіндігін біліңіз.</t>
  </si>
  <si>
    <t xml:space="preserve">әлеуметтік мүгедек көпбалалы</t>
  </si>
  <si>
    <t xml:space="preserve">«Бастау Бизнес» — обучение для начинающих</t>
  </si>
  <si>
    <t xml:space="preserve">Программа обучения</t>
  </si>
  <si>
    <t xml:space="preserve">Обучение</t>
  </si>
  <si>
    <t xml:space="preserve">Начинающие; сертификат может быть условием гранта</t>
  </si>
  <si>
    <t xml:space="preserve">обучение</t>
  </si>
  <si>
    <t xml:space="preserve">курсы начинающий старт</t>
  </si>
  <si>
    <t xml:space="preserve">Обучение основам предпринимательства. Сертификат может быть условием участия в грантовом конкурсе.</t>
  </si>
  <si>
    <t xml:space="preserve">• Начинающие предприниматели
• Планирующие открыть дело</t>
  </si>
  <si>
    <t xml:space="preserve">Проект связан с обучением основам предпринимательства. Для отдельных механизмов поддержки наличие сертификата — одно из условий участия в конкурсе на грант.</t>
  </si>
  <si>
    <t xml:space="preserve">• Условия набора и категории участников уточняйте у оператора обучения</t>
  </si>
  <si>
    <t xml:space="preserve">• Удостоверение личности
• Другие документы — по требованию оператора</t>
  </si>
  <si>
    <t xml:space="preserve">1. Узнайте у оператора ближайший набор.
2. Пройдите обучение и получите сертификат.
3. Используйте сертификат при подаче на грант, если он требуется.</t>
  </si>
  <si>
    <t xml:space="preserve">«Бастау Бизнес» — бастаушыларға арналған оқыту</t>
  </si>
  <si>
    <t xml:space="preserve">Кәсіпкерлерді оқыту бағдарламасы</t>
  </si>
  <si>
    <t xml:space="preserve">оқыту</t>
  </si>
  <si>
    <t xml:space="preserve">Бастаушылар; сертификат грант шарты болуы мүмкін</t>
  </si>
  <si>
    <t xml:space="preserve">Кәсіпкерлік негіздеріне оқыту. Сертификат гранттық конкурсқа қатысу шарты болуы мүмкін.</t>
  </si>
  <si>
    <t xml:space="preserve">• Бастаушы кәсіпкерлер
• Іс ашуды жоспарлап жүргендер</t>
  </si>
  <si>
    <t xml:space="preserve">Жоба кәсіпкерлік негіздеріне оқытумен байланысты. Қолдаудың кейбір тетіктері үшін сертификаттың болуы грантқа конкурсқа қатысу шарттарының бірі болып табылады.</t>
  </si>
  <si>
    <t xml:space="preserve">• Іріктеу шарттары мен қатысушылар санаттарын оқыту операторынан нақтылаңыз</t>
  </si>
  <si>
    <t xml:space="preserve">• Жеке куәлік
• Басқа құжаттар — оператордың талабы бойынша</t>
  </si>
  <si>
    <t xml:space="preserve">1. Оператордан жақын арадағы қабылдау мерзімін біліңіз.
2. Оқудан өтіп, сертификат алыңыз.
3. Қажет болса, грантқа өтінім бергенде сертификатты пайдаланыңыз.</t>
  </si>
  <si>
    <t xml:space="preserve">курс оқыту бастаушы бастау</t>
  </si>
  <si>
    <t xml:space="preserve">Субсидирование ставки по кредиту</t>
  </si>
  <si>
    <t xml:space="preserve">Фонд «Даму»</t>
  </si>
  <si>
    <t xml:space="preserve">Субсидия ставки</t>
  </si>
  <si>
    <t xml:space="preserve">Производство</t>
  </si>
  <si>
    <t xml:space="preserve">Производство, логистика, инновации (по обзорам); проверьте перечень видов деятельности</t>
  </si>
  <si>
    <t xml:space="preserve">ставка для заёмщика ориентировочно 7–9%</t>
  </si>
  <si>
    <t xml:space="preserve">кредит процент ставка оборудование логистика</t>
  </si>
  <si>
    <t xml:space="preserve">Государство компенсирует часть процента по кредиту коммерческого банка.</t>
  </si>
  <si>
    <t xml:space="preserve">• ИП
• Малый и средний бизнес
• Производственные, логистические и инновационные проекты</t>
  </si>
  <si>
    <t xml:space="preserve">Субсидирование снижает стоимость кредита: часть стоимости финансирования компенсирует государство. По обзору, конечная ставка для заёмщика составляет от 7% до 9% годовых для производственных, логистических и инновационных предприятий. Сумма, срок субсидирования и условия зависят от конкретной программы.</t>
  </si>
  <si>
    <t xml:space="preserve">• Вид деятельности входит в допустимый перечень программы
• Соответствие категории предпринимателя
• Соответствие проекта требованиям программы</t>
  </si>
  <si>
    <t xml:space="preserve">1. Выберите программу субсидирования, подходящую вашей цели (инвестиции или оборотные средства).
2. Проверьте, подходит ли вам программа: статус ИП/ТОО, регион, вид деятельности (ОКЭД), цель финансирования.
3. Подготовьте документы.
4. Подайте заявку тем способом, который указан оператором (зависит от меры и региона).
5. Дождитесь решения. При отказе узнайте причину и возможность повторной подачи.</t>
  </si>
  <si>
    <t xml:space="preserve">https://damu.kz</t>
  </si>
  <si>
    <t xml:space="preserve">Да</t>
  </si>
  <si>
    <t xml:space="preserve">Несие бойынша мөлшерлемені субсидиялау</t>
  </si>
  <si>
    <t xml:space="preserve">«Даму» кәсіпкерлікті дамыту қоры</t>
  </si>
  <si>
    <t xml:space="preserve">қарыз алушы үшін мөлшерлеме шамамен 7–9%</t>
  </si>
  <si>
    <t xml:space="preserve">Өндіріс, логистика, инновациялар (шолулар бойынша); қызмет түрлерінің тізімін тексеріңіз</t>
  </si>
  <si>
    <t xml:space="preserve">Мемлекет коммерциялық банк несиесі бойынша пайыздың бір бөлігін өтейді.</t>
  </si>
  <si>
    <t xml:space="preserve">• ЖК
• Шағын және орта бизнес
• Өндірістік, логистикалық және инновациялық жобалар</t>
  </si>
  <si>
    <t xml:space="preserve">Субсидиялау несие құнын төмендетеді: қаржыландыру құнының бір бөлігін мемлекет өтейді. Шолу бойынша қарыз алушы үшін түпкілікті мөлшерлеме өндірістік, логистикалық және инновациялық кәсіпорындар үшін жылдық 7%-дан 9%-ға дейін құрайды. Сома, субсидиялау мерзімі және шарттар нақты бағдарламаға байланысты.</t>
  </si>
  <si>
    <t xml:space="preserve">• Қызмет түрі бағдарламаның рұқсат етілген тізіміне кіреді
• Кәсіпкер санатына сәйкестік
• Жобаның бағдарлама талаптарына сәйкестігі</t>
  </si>
  <si>
    <t xml:space="preserve">1. Мақсатыңызға (инвестиция немесе айналым қаражаты) сәйкес субсидиялау бағдарламасын таңдаңыз.
2. Бағдарламаның сізге сәйкес келетінін тексеріңіз: ЖК/ЖШС мәртебесі, өңір, қызмет түрі (ЭҚЖЖ), қаржыландыру мақсаты.
3. Құжаттарды дайындаңыз.
4. Өтінімді оператор көрсеткен тәсілмен беріңіз (шара мен өңірге байланысты).
5. Шешімді күтіңіз. Бас тартылған жағдайда себебін және қайта өтінім беру мүмкіндігін біліңіз.</t>
  </si>
  <si>
    <t xml:space="preserve">несие пайыз мөлшерлеме жабдық логистика өндіріс</t>
  </si>
  <si>
    <t xml:space="preserve">Гарантия по кредиту, если не хватает залога</t>
  </si>
  <si>
    <t xml:space="preserve">Гарантия</t>
  </si>
  <si>
    <t xml:space="preserve">Малый и микробизнес с недостатком залога</t>
  </si>
  <si>
    <t xml:space="preserve">до 85% суммы кредита (по отдельным механизмам)</t>
  </si>
  <si>
    <t xml:space="preserve">залог кредит банк кофейня магазин салон</t>
  </si>
  <si>
    <t xml:space="preserve">Гарантия фонда помогает получить кредит в банке при недостатке собственного залога.</t>
  </si>
  <si>
    <t xml:space="preserve">• Малый и микробизнес
• ИП
• ТОО</t>
  </si>
  <si>
    <t xml:space="preserve">Гарантирование помогает обеспечить обязательства перед банком при недостатке залога. По отдельным механизмам Реестра размер гарантии достигает 85% суммы кредита (например, для некоторых кредитов малого и микробизнеса). Это не «кредит без залога», а гарантия на часть суммы.</t>
  </si>
  <si>
    <t xml:space="preserve">• Недостаточное собственное залоговое обеспечение
• Соответствие условиям конкретного механизма гарантирования
• Одобрение финансирования финансовой организацией</t>
  </si>
  <si>
    <t xml:space="preserve">1. Обратитесь в банк-партнёр или к оператору и уточните, доступна ли гарантия для вашего кредита.
2. Подготовьте документы.
3. Подайте заявку тем способом, который указан оператором (зависит от меры и региона).
4. Дождитесь решения. При отказе узнайте причину и возможность повторной подачи.</t>
  </si>
  <si>
    <t xml:space="preserve">Кепіл жеткіліксіз болса, несие бойынша кепілдік</t>
  </si>
  <si>
    <t xml:space="preserve">«Даму» қоры</t>
  </si>
  <si>
    <t xml:space="preserve">несие сомасының 85%-ына дейін (жекелеген тетіктер бойынша)</t>
  </si>
  <si>
    <t xml:space="preserve">Кепілі жеткіліксіз шағын және микробизнес</t>
  </si>
  <si>
    <t xml:space="preserve">Қор кепілдігі жеке кепіл жеткіліксіз болғанда банктен несие алуға көмектеседі.</t>
  </si>
  <si>
    <t xml:space="preserve">• Шағын және микробизнес
• ЖК
• ЖШС</t>
  </si>
  <si>
    <t xml:space="preserve">Кепілдік беру кепіл жеткіліксіз болғанда банк алдындағы міндеттемелерді қамтамасыз етуге көмектеседі. Тізілімнің жекелеген тетіктері бойынша кепілдік мөлшері несие сомасының 85%-на дейін жетеді (мысалы, шағын және микробизнестің кейбір несиелері үшін). Бұл «кепілсіз несие» емес, соманың бір бөлігіне берілетін кепілдік.</t>
  </si>
  <si>
    <t xml:space="preserve">• Жеке кепіл қамтамасыз етуінің жеткіліксіздігі
• Кепілдік берудің нақты тетігінің шарттарына сәйкестік
• Қаржыландыруды қаржы ұйымының мақұлдауы</t>
  </si>
  <si>
    <t xml:space="preserve">1. Банк-серіктеске немесе операторға жүгініп, несиеңіз үшін кепілдіктің қолжетімді екенін нақтылаңыз.
2. Құжаттарды дайындаңыз.
3. Өтінімді оператор көрсеткен тәсілмен беріңіз (шара мен өңірге байланысты).
4. Шешімді күтіңіз. Бас тартылған жағдайда себебін және қайта өтінім беру мүмкіндігін біліңіз.</t>
  </si>
  <si>
    <t xml:space="preserve">кепіл несие банк кепілдік кофехана дүкен салон</t>
  </si>
  <si>
    <t xml:space="preserve">«Ауыл аманаты» — микрокредит для села</t>
  </si>
  <si>
    <t xml:space="preserve">Сельское микрокредитование</t>
  </si>
  <si>
    <t xml:space="preserve">Льготный кредит</t>
  </si>
  <si>
    <t xml:space="preserve">Сельское хозяйство</t>
  </si>
  <si>
    <t xml:space="preserve">Только село и малые города; животноводство до 7 лет; это кредит, не грант</t>
  </si>
  <si>
    <t xml:space="preserve">до 2,5% годовых, срок до 5 лет</t>
  </si>
  <si>
    <t xml:space="preserve">ферма фермер село животноводство растениеводство техника кооператив</t>
  </si>
  <si>
    <t xml:space="preserve">Льготные микрокредиты для сельского бизнеса и малых городов. Это кредит, а не грант.</t>
  </si>
  <si>
    <t xml:space="preserve">• Сельхозпроизводители
• Жители села и малых городов
• Сельскохозяйственные кооперативы</t>
  </si>
  <si>
    <t xml:space="preserve">Программа развивает предпринимательство на селе. Финансируются животноводство, растениеводство, переработка, закупка техники и оборудования, кооперативы и отдельные несельскохозяйственные направления. Номинальная ставка — не более 2,5% годовых, срок обычно до 5 лет, для животноводства — до 7 лет. Деньги нужно использовать по назначению и вернуть.</t>
  </si>
  <si>
    <t xml:space="preserve">• Проект в сельской местности или малом городе
• Целевое использование средств
• Лимиты и условия зависят от категории проекта и региональных правил</t>
  </si>
  <si>
    <t xml:space="preserve">1. Узнайте региональный порядок подачи: в ряде регионов заявки принимаются в электронном виде.
2. Подготовьте документы.
3. Подайте заявку тем способом, который указан оператором (зависит от меры и региона).
4. Дождитесь решения. При отказе узнайте причину и возможность повторной подачи.</t>
  </si>
  <si>
    <t xml:space="preserve">«Ауыл аманаты» — ауылға арналған микронесие</t>
  </si>
  <si>
    <t xml:space="preserve">Ауылдық микронесиелеу</t>
  </si>
  <si>
    <t xml:space="preserve">жылдық 2,5%-ға дейін, мерзімі 5 жылға дейін</t>
  </si>
  <si>
    <t xml:space="preserve">Тек ауыл және шағын қалалар; мал шаруашылығы 7 жылға дейін; бұл несие, грант емес</t>
  </si>
  <si>
    <t xml:space="preserve">Ауыл бизнесі мен шағын қалаларға арналған жеңілдетілген микронесиелер. Бұл несие, грант емес.</t>
  </si>
  <si>
    <t xml:space="preserve">• Ауыл шаруашылығы өндірушілері
• Ауыл және шағын қала тұрғындары
• Ауыл шаруашылығы кооперативтері</t>
  </si>
  <si>
    <t xml:space="preserve">Бағдарлама ауылда кәсіпкерлікті дамытады. Мал шаруашылығы, өсімдік шаруашылығы, қайта өңдеу, техника мен жабдық сатып алу, кооперативтер және ауыл шаруашылығына жатпайтын кейбір бағыттар қаржыландырылады. Номиналды мөлшерлеме — жылдық 2,5%-дан аспайды, мерзімі әдетте 5 жылға дейін, мал шаруашылығы үшін — 7 жылға дейін. Қаражатты мақсатына сай пайдаланып, қайтару қажет.</t>
  </si>
  <si>
    <t xml:space="preserve">• Жоба ауылдық жерде немесе шағын қалада
• Қаражатты мақсатты пайдалану
• Лимиттер мен шарттар жоба санатына және өңірлік ережелерге байланысты</t>
  </si>
  <si>
    <t xml:space="preserve">1. Өңірлік өтінім беру тәртібін біліңіз: бірқатар өңірде өтінімдер электронды түрде қабылданады.
2. Құжаттарды дайындаңыз.
3. Өтінімді оператор көрсеткен тәсілмен беріңіз (шара мен өңірге байланысты).
4. Шешімді күтіңіз. Бас тартылған жағдайда себебін және қайта өтінім беру мүмкіндігін біліңіз.</t>
  </si>
  <si>
    <t xml:space="preserve">ферма фермер ауыл мал шаруашылығы өсімдік шаруашылығы техника кооператив ауыл шаруашылығы</t>
  </si>
  <si>
    <t xml:space="preserve">Резидентство Astana Hub</t>
  </si>
  <si>
    <t xml:space="preserve">Astana Hub</t>
  </si>
  <si>
    <t xml:space="preserve">Налоговая льгота</t>
  </si>
  <si>
    <t xml:space="preserve">IT</t>
  </si>
  <si>
    <t xml:space="preserve">IT-компании; онлайн-регистрация; взнос ≈1% дохода; квартальная отчётность</t>
  </si>
  <si>
    <t xml:space="preserve">0% КПН и НДС по аккредитованной ИКТ-деятельности</t>
  </si>
  <si>
    <t xml:space="preserve">https://registration.astanahub.com</t>
  </si>
  <si>
    <t xml:space="preserve">it стартап разработка программист софт технопарк</t>
  </si>
  <si>
    <t xml:space="preserve">Налоговые льготы для IT-компаний по аккредитованным видам ИКТ-деятельности.</t>
  </si>
  <si>
    <t xml:space="preserve">• IT-компании (юридические лица)
• IT-стартапы</t>
  </si>
  <si>
    <t xml:space="preserve">Резидентам Astana Hub доступен специальный налоговый режим по приоритетным видам ИКТ-деятельности. Ориентировочно: освобождение от КПН и НДС по ИКТ, взнос около 1% дохода, квартальная отчётность. Регистрировать компанию в Астане не требуется. Потеря статуса может повлечь доначисление налогов — соблюдайте условия.</t>
  </si>
  <si>
    <t xml:space="preserve">• Юридическое лицо с аккредитованным видом ИКТ-деятельности
• Взнос около 1% дохода и квартальная отчётность
• Льготы действуют только на доходы от допустимых видов деятельности</t>
  </si>
  <si>
    <t xml:space="preserve">• Регистрационные документы компании
• Описание деятельности по ИКТ
• Остальное — по требованиям онлайн-портала</t>
  </si>
  <si>
    <t xml:space="preserve">1. Проверьте, что ваша деятельность входит в перечень приоритетных видов ИКТ.
2. Подайте онлайн-заявку на портале регистрации.
3. Ориентировочный срок рассмотрения — до 25 рабочих дней.
4. Сдавайте квартальную отчётность.</t>
  </si>
  <si>
    <t xml:space="preserve">https://astanahub.com</t>
  </si>
  <si>
    <t xml:space="preserve">Astana Hub резиденттігі</t>
  </si>
  <si>
    <t xml:space="preserve">аккредиттелген АКТ қызметі бойынша КТС және ҚҚС 0%</t>
  </si>
  <si>
    <t xml:space="preserve">IT-компаниялар; онлайн тіркеу; жарна ≈ табыстың 1%; тоқсандық есептілік</t>
  </si>
  <si>
    <t xml:space="preserve">Аккредиттелген АКТ қызмет түрлері бойынша IT-компанияларға арналған салық жеңілдіктері.</t>
  </si>
  <si>
    <t xml:space="preserve">• IT-компаниялар (заңды тұлғалар)
• IT-стартаптар</t>
  </si>
  <si>
    <t xml:space="preserve">Astana Hub резиденттеріне АКТ-ның басым қызмет түрлері бойынша арнайы салық режимі қолжетімді. Шамамен: АКТ бойынша КТС және ҚҚС-тан босату, табыстың шамамен 1% көлеміндегі жарна, тоқсандық есептілік. Компанияны Астанада тіркеудің қажеті жоқ. Мәртебені жоғалту салықтардың қосымша есептелуіне әкелуі мүмкін — шарттарды сақтаңыз.</t>
  </si>
  <si>
    <t xml:space="preserve">• Аккредиттелген АКТ қызмет түрі бар заңды тұлға
• Табыстың шамамен 1% көлеміндегі жарна және тоқсандық есептілік
• Жеңілдіктер тек рұқсат етілген қызмет түрлерінен түсетін табысқа қолданылады</t>
  </si>
  <si>
    <t xml:space="preserve">• Компанияның тіркеу құжаттары
• АКТ бойынша қызметтің сипаттамасы
• Қалғаны — онлайн-порталдың талаптары бойынша</t>
  </si>
  <si>
    <t xml:space="preserve">1. Қызметіңіздің АКТ-ның басым түрлерінің тізіміне кіретінін тексеріңіз.
2. Тіркеу порталында онлайн-өтінім беріңіз.
3. Қарау мерзімі шамамен 25 жұмыс күніне дейін.
4. Тоқсандық есептілікті тапсырыңыз.</t>
  </si>
  <si>
    <t xml:space="preserve">it стартап әзірлеу бағдарламашы софт технопарк</t>
  </si>
  <si>
    <t xml:space="preserve">Almaty AI Hub</t>
  </si>
  <si>
    <t xml:space="preserve">Акимат Алматы</t>
  </si>
  <si>
    <t xml:space="preserve">Алматы</t>
  </si>
  <si>
    <t xml:space="preserve">Анонсированная площадка для IT; проверьте, запущена ли</t>
  </si>
  <si>
    <t xml:space="preserve">налоговые преференции (ожидаются)</t>
  </si>
  <si>
    <t xml:space="preserve">https://kapital.kz/tehnology/146124/v-almaty-sozdadut-ai-hub-s-lgotami-dlya-it-kompanij.html</t>
  </si>
  <si>
    <t xml:space="preserve">Анонс</t>
  </si>
  <si>
    <t xml:space="preserve">it стартап ai искусственный интеллект</t>
  </si>
  <si>
    <t xml:space="preserve">Анонсированная площадка для IT-компаний Алматы по аналогии с Astana Hub.</t>
  </si>
  <si>
    <t xml:space="preserve">• IT-компании Алматы
• IT-стартапы</t>
  </si>
  <si>
    <t xml:space="preserve">Власти Алматы анонсировали создание Almaty AI Hub, резиденты которого смогут рассчитывать на налоговые преференции. По заявлению представителя города, условия планируются такими же, как в Astana Hub. Проверьте, запущена ли площадка и открыт ли приём заявок.</t>
  </si>
  <si>
    <t xml:space="preserve">• Условия пока не опубликованы — следите за анонсами акимата</t>
  </si>
  <si>
    <t xml:space="preserve">• Перечень документов появится после запуска</t>
  </si>
  <si>
    <t xml:space="preserve">1. Следите за официальными объявлениями акимата Алматы.
2. После запуска проверьте требования и подайте заявку.</t>
  </si>
  <si>
    <t xml:space="preserve">Категория</t>
  </si>
  <si>
    <t xml:space="preserve">Русский (значение в данных)</t>
  </si>
  <si>
    <t xml:space="preserve">Қазақша (KK)</t>
  </si>
  <si>
    <t xml:space="preserve">Все регионы</t>
  </si>
  <si>
    <t xml:space="preserve">Барлық өңірлер</t>
  </si>
  <si>
    <t xml:space="preserve">Бүкіл ҚР</t>
  </si>
  <si>
    <t xml:space="preserve">Астана</t>
  </si>
  <si>
    <t xml:space="preserve">Шымкент</t>
  </si>
  <si>
    <t xml:space="preserve">Алматинская область</t>
  </si>
  <si>
    <t xml:space="preserve">Алматы облысы</t>
  </si>
  <si>
    <t xml:space="preserve">Абайская область</t>
  </si>
  <si>
    <t xml:space="preserve">Абай облысы</t>
  </si>
  <si>
    <t xml:space="preserve">Акмолинская область</t>
  </si>
  <si>
    <t xml:space="preserve">Ақмола облысы</t>
  </si>
  <si>
    <t xml:space="preserve">Актюбинская область</t>
  </si>
  <si>
    <t xml:space="preserve">Ақтөбе облысы</t>
  </si>
  <si>
    <t xml:space="preserve">Атырауская область</t>
  </si>
  <si>
    <t xml:space="preserve">Атырау облысы</t>
  </si>
  <si>
    <t xml:space="preserve">Восточно-Казахстанская область</t>
  </si>
  <si>
    <t xml:space="preserve">Шығыс Қазақстан облысы</t>
  </si>
  <si>
    <t xml:space="preserve">Жамбылская область</t>
  </si>
  <si>
    <t xml:space="preserve">Жамбыл облысы</t>
  </si>
  <si>
    <t xml:space="preserve">Жетісу</t>
  </si>
  <si>
    <t xml:space="preserve">Жетісу облысы</t>
  </si>
  <si>
    <t xml:space="preserve">Западно-Казахстанская область</t>
  </si>
  <si>
    <t xml:space="preserve">Батыс Қазақстан облысы</t>
  </si>
  <si>
    <t xml:space="preserve">Карагандинская область</t>
  </si>
  <si>
    <t xml:space="preserve">Қарағанды облысы</t>
  </si>
  <si>
    <t xml:space="preserve">Костанайская область</t>
  </si>
  <si>
    <t xml:space="preserve">Қостанай облысы</t>
  </si>
  <si>
    <t xml:space="preserve">Кызылординская область</t>
  </si>
  <si>
    <t xml:space="preserve">Қызылорда облысы</t>
  </si>
  <si>
    <t xml:space="preserve">Мангистауская область</t>
  </si>
  <si>
    <t xml:space="preserve">Маңғыстау облысы</t>
  </si>
  <si>
    <t xml:space="preserve">Павлодарская область</t>
  </si>
  <si>
    <t xml:space="preserve">Павлодар облысы</t>
  </si>
  <si>
    <t xml:space="preserve">Северо-Казахстанская область</t>
  </si>
  <si>
    <t xml:space="preserve">Солтүстік Қазақстан облысы</t>
  </si>
  <si>
    <t xml:space="preserve">Туркестанская область</t>
  </si>
  <si>
    <t xml:space="preserve">Түркістан облысы</t>
  </si>
  <si>
    <t xml:space="preserve">Ұлытау</t>
  </si>
  <si>
    <t xml:space="preserve">Ұлытау облысы</t>
  </si>
  <si>
    <t xml:space="preserve">Барлық салалар</t>
  </si>
  <si>
    <t xml:space="preserve">Өндіріс</t>
  </si>
  <si>
    <t xml:space="preserve">Ауыл шаруашылығы</t>
  </si>
  <si>
    <t xml:space="preserve">Әлеуметтік кәсіпкерлік</t>
  </si>
  <si>
    <t xml:space="preserve">Торговля и услуги</t>
  </si>
  <si>
    <t xml:space="preserve">Сауда және қызмет көрсету</t>
  </si>
  <si>
    <t xml:space="preserve">Все типы</t>
  </si>
  <si>
    <t xml:space="preserve">Барлық түрлер</t>
  </si>
  <si>
    <t xml:space="preserve">Мөлшерлемені субсидиялау</t>
  </si>
  <si>
    <t xml:space="preserve">Кепілдік</t>
  </si>
  <si>
    <t xml:space="preserve">Жеңілдетілген несие</t>
  </si>
  <si>
    <t xml:space="preserve">Салық жеңілдігі</t>
  </si>
  <si>
    <t xml:space="preserve">Оқыту</t>
  </si>
  <si>
    <t xml:space="preserve">Переводы значений фильтров. Русские значения должны совпадать с данными на листе «Программы». Новые сфера/тип/регион добавляйте сюда.</t>
  </si>
  <si>
    <t xml:space="preserve">Таблица</t>
  </si>
  <si>
    <t xml:space="preserve">Поле</t>
  </si>
  <si>
    <t xml:space="preserve">Тип поля Airtable</t>
  </si>
  <si>
    <t xml:space="preserve">Параметры / заметки</t>
  </si>
  <si>
    <t xml:space="preserve">Programs</t>
  </si>
  <si>
    <t xml:space="preserve">Single line text</t>
  </si>
  <si>
    <t xml:space="preserve">Основное поле</t>
  </si>
  <si>
    <t xml:space="preserve">Фонд «Даму», акимат, Astana Hub и т.д.</t>
  </si>
  <si>
    <t xml:space="preserve">Single select</t>
  </si>
  <si>
    <t xml:space="preserve">Грант, Субсидия ставки, Гарантия, Льготный кредит, Налоговая льгота, Обучение</t>
  </si>
  <si>
    <t xml:space="preserve">Multiple select</t>
  </si>
  <si>
    <t xml:space="preserve">Вся РК, Алматы, Алматинская область, другие области. Для Алматы показывайте «Алматы» + «Вся РК»</t>
  </si>
  <si>
    <t xml:space="preserve">Все сферы, IT, Сельское хозяйство, Производство, Торговля и услуги, Социальное предпринимательство</t>
  </si>
  <si>
    <t xml:space="preserve">Long text</t>
  </si>
  <si>
    <t xml:space="preserve">Категория получателя, ОКЭД, обязательные условия</t>
  </si>
  <si>
    <t xml:space="preserve">Сумма в ₸, МРП, ставка или % гарантии</t>
  </si>
  <si>
    <t xml:space="preserve">Date</t>
  </si>
  <si>
    <t xml:space="preserve">Пусто, если приём идёт по объявлениям</t>
  </si>
  <si>
    <t xml:space="preserve">Ссылка</t>
  </si>
  <si>
    <t xml:space="preserve">URL</t>
  </si>
  <si>
    <t xml:space="preserve">Официальная страница оператора (лучше, чем обзор)</t>
  </si>
  <si>
    <t xml:space="preserve">Черновик, Опубликовано, Анонс, Закрыто. В Softr — вид только «Опубликовано»</t>
  </si>
  <si>
    <t xml:space="preserve">Показывайте на карточке для доверия</t>
  </si>
  <si>
    <t xml:space="preserve">Для поиска: «кофейня», «салон красоты», «ферма», «IT»</t>
  </si>
  <si>
    <t xml:space="preserve">Subscribers</t>
  </si>
  <si>
    <t xml:space="preserve">Email</t>
  </si>
  <si>
    <t xml:space="preserve">Город</t>
  </si>
  <si>
    <t xml:space="preserve">Алматы, Астана, другие</t>
  </si>
  <si>
    <t xml:space="preserve">Для сегментации рассылки</t>
  </si>
  <si>
    <t xml:space="preserve">Дата подписки</t>
  </si>
  <si>
    <t xml:space="preserve">Created time</t>
  </si>
  <si>
    <t xml:space="preserve">Текст на карточке</t>
  </si>
  <si>
    <t xml:space="preserve">Список для галочек ✓ на карточке (ИП, ТОО, сельхозпроизводители…)</t>
  </si>
  <si>
    <t xml:space="preserve">Страница «Подробнее»</t>
  </si>
  <si>
    <t xml:space="preserve">Шаги заявки</t>
  </si>
  <si>
    <t xml:space="preserve">Кнопка «Перейти на официальный сайт →» — сайт госоргана или оператора</t>
  </si>
  <si>
    <t xml:space="preserve">Checkbox</t>
  </si>
  <si>
    <t xml:space="preserve">Если нет — на сайте кнопка «Открыть источник» с предупреждением</t>
  </si>
  <si>
    <t xml:space="preserve">Казахская версия поля; пусто = показывается русский текст</t>
  </si>
  <si>
    <t xml:space="preserve">Час</t>
  </si>
  <si>
    <t xml:space="preserve">Задача</t>
  </si>
  <si>
    <t xml:space="preserve">Инструмент</t>
  </si>
  <si>
    <t xml:space="preserve">План, ч</t>
  </si>
  <si>
    <t xml:space="preserve">Факт, ч</t>
  </si>
  <si>
    <t xml:space="preserve">1</t>
  </si>
  <si>
    <t xml:space="preserve">Создать базу Airtable: Programs и Subscribers</t>
  </si>
  <si>
    <t xml:space="preserve">Airtable</t>
  </si>
  <si>
    <t xml:space="preserve">Не начато</t>
  </si>
  <si>
    <t xml:space="preserve">Собрать 30–50 программ: Даму, Атамекен, акимат Алматы, Astana Hub, банки; сверить условия с операторами</t>
  </si>
  <si>
    <t xml:space="preserve">Исследование</t>
  </si>
  <si>
    <t xml:space="preserve">2</t>
  </si>
  <si>
    <t xml:space="preserve">Подключить Airtable к Softr; список с фильтрами «Регион / Сфера / Тип» и поиском</t>
  </si>
  <si>
    <t xml:space="preserve">Softr</t>
  </si>
  <si>
    <t xml:space="preserve">Страница программы и форма подписки; вид только «Опубликовано»</t>
  </si>
  <si>
    <t xml:space="preserve">Подключить домен (.kz)</t>
  </si>
  <si>
    <t xml:space="preserve">Softr / регистратор</t>
  </si>
  <si>
    <t xml:space="preserve">3</t>
  </si>
  <si>
    <t xml:space="preserve">Рассылка: Airtable Automation + Mailchimp/Brevo</t>
  </si>
  <si>
    <t xml:space="preserve">Airtable, Brevo</t>
  </si>
  <si>
    <t xml:space="preserve">Запуск: Telegram/Instagram-чаты предпринимателей Алматы</t>
  </si>
  <si>
    <t xml:space="preserve">Соцсети</t>
  </si>
  <si>
    <t xml:space="preserve">Итого</t>
  </si>
  <si>
    <t xml:space="preserve">Выполнено, %</t>
  </si>
  <si>
    <t xml:space="preserve">Задач со статусом «Готово»</t>
  </si>
  <si>
    <t xml:space="preserve">Синие ячейки — редактируемые: план часов, статус, фактические часы.</t>
  </si>
  <si>
    <t xml:space="preserve">Проверка спроса</t>
  </si>
  <si>
    <t xml:space="preserve">Ввод</t>
  </si>
  <si>
    <t xml:space="preserve">Значение</t>
  </si>
  <si>
    <t xml:space="preserve">Примечание</t>
  </si>
  <si>
    <t xml:space="preserve">Уникальные посетители</t>
  </si>
  <si>
    <t xml:space="preserve">Из аналитики сайта</t>
  </si>
  <si>
    <t xml:space="preserve">Подписки на рассылку</t>
  </si>
  <si>
    <t xml:space="preserve">Строки в таблице Subscribers</t>
  </si>
  <si>
    <t xml:space="preserve">Клики «Подробнее →»</t>
  </si>
  <si>
    <t xml:space="preserve">События в Softr/аналитике</t>
  </si>
  <si>
    <t xml:space="preserve">Платные конверсии (рассылка, размещение, заявки партнёрам)</t>
  </si>
  <si>
    <t xml:space="preserve">Любое событие с выручкой</t>
  </si>
  <si>
    <t xml:space="preserve">Выручка с одной платной конверсии, ₸</t>
  </si>
  <si>
    <t xml:space="preserve">Допущение — задайте цену в тенге</t>
  </si>
  <si>
    <t xml:space="preserve">Расчёт (формулы)</t>
  </si>
  <si>
    <t xml:space="preserve">Показатель</t>
  </si>
  <si>
    <t xml:space="preserve">Логика</t>
  </si>
  <si>
    <t xml:space="preserve">Конверсия в подписку</t>
  </si>
  <si>
    <t xml:space="preserve">Подписки ÷ Посетители</t>
  </si>
  <si>
    <t xml:space="preserve">CTR по кнопке «Подробнее»</t>
  </si>
  <si>
    <t xml:space="preserve">Клики ÷ Посетители</t>
  </si>
  <si>
    <t xml:space="preserve">Конверсия в оплату</t>
  </si>
  <si>
    <t xml:space="preserve">Платные ÷ Подписки</t>
  </si>
  <si>
    <t xml:space="preserve">Общая выручка, ₸</t>
  </si>
  <si>
    <t xml:space="preserve">Платные × выручка с одной</t>
  </si>
  <si>
    <t xml:space="preserve">Выручка на посетителя, ₸</t>
  </si>
  <si>
    <t xml:space="preserve">Выручка ÷ Посетители</t>
  </si>
  <si>
    <t xml:space="preserve">Состояние каталога (из листа «Программы»)</t>
  </si>
  <si>
    <t xml:space="preserve">Всего программ</t>
  </si>
  <si>
    <t xml:space="preserve">Непустые названия</t>
  </si>
  <si>
    <t xml:space="preserve">Статус = Опубликовано</t>
  </si>
  <si>
    <t xml:space="preserve">Скоро дедлайн (≤30 дней)</t>
  </si>
  <si>
    <t xml:space="preserve">Истёк — закрыть или удалить</t>
  </si>
  <si>
    <t xml:space="preserve">Гранты</t>
  </si>
  <si>
    <t xml:space="preserve">Тип = Грант</t>
  </si>
  <si>
    <t xml:space="preserve">Субсидии ставки</t>
  </si>
  <si>
    <t xml:space="preserve">Тип = Субсидия ставки</t>
  </si>
  <si>
    <t xml:space="preserve">Льготные кредиты</t>
  </si>
  <si>
    <t xml:space="preserve">Тип = Льготный кредит</t>
  </si>
  <si>
    <t xml:space="preserve">Для Алматы (город + вся РК)</t>
  </si>
  <si>
    <t xml:space="preserve">Видимо жителю Алматы</t>
  </si>
  <si>
    <t xml:space="preserve">Только специфичные для Алматы</t>
  </si>
  <si>
    <t xml:space="preserve">Добавьте больше местных программ</t>
  </si>
</sst>
</file>

<file path=xl/styles.xml><?xml version="1.0" encoding="utf-8"?>
<styleSheet xmlns="http://schemas.openxmlformats.org/spreadsheetml/2006/main">
  <numFmts count="7">
    <numFmt numFmtId="164" formatCode="General"/>
    <numFmt numFmtId="165" formatCode="yyyy\-mm\-dd"/>
    <numFmt numFmtId="166" formatCode="0"/>
    <numFmt numFmtId="167" formatCode="0%"/>
    <numFmt numFmtId="168" formatCode="#,##0"/>
    <numFmt numFmtId="169" formatCode="0.0%"/>
    <numFmt numFmtId="170"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3"/>
      <name val="Arial"/>
      <family val="0"/>
      <charset val="1"/>
    </font>
  </fonts>
  <fills count="4">
    <fill>
      <patternFill patternType="none"/>
    </fill>
    <fill>
      <patternFill patternType="gray125"/>
    </fill>
    <fill>
      <patternFill patternType="solid">
        <fgColor rgb="FF0A6EBD"/>
        <bgColor rgb="FF008080"/>
      </patternFill>
    </fill>
    <fill>
      <patternFill patternType="solid">
        <fgColor rgb="FFFFFF00"/>
        <bgColor rgb="FFFFFF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70"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A6EBD"/>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bgColor rgb="FFFDF0DC"/>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DC"/>
      <rgbColor rgb="FFCCFFFF"/>
      <rgbColor rgb="FF660066"/>
      <rgbColor rgb="FFFF8080"/>
      <rgbColor rgb="FF0A6EBD"/>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10"/>
  </cols>
  <sheetData>
    <row r="1" customFormat="false" ht="17.25" hidden="false" customHeight="true" outlineLevel="0" collapsed="false">
      <c r="A1" s="2" t="s">
        <v>0</v>
      </c>
    </row>
    <row r="2" customFormat="false" ht="15" hidden="false" customHeight="true" outlineLevel="0" collapsed="false">
      <c r="A2" s="3"/>
      <c r="B2" s="4"/>
    </row>
    <row r="3" customFormat="false" ht="15" hidden="false" customHeight="true" outlineLevel="0" collapsed="false">
      <c r="A3" s="3" t="s">
        <v>1</v>
      </c>
      <c r="B3" s="4" t="s">
        <v>2</v>
      </c>
    </row>
    <row r="4" customFormat="false" ht="15" hidden="false" customHeight="true" outlineLevel="0" collapsed="false">
      <c r="A4" s="3"/>
      <c r="B4" s="4"/>
    </row>
    <row r="5" customFormat="false" ht="15" hidden="false" customHeight="true" outlineLevel="0" collapsed="false">
      <c r="A5" s="5" t="s">
        <v>3</v>
      </c>
      <c r="B5" s="5" t="s">
        <v>4</v>
      </c>
    </row>
    <row r="6" customFormat="false" ht="15" hidden="false" customHeight="true" outlineLevel="0" collapsed="false">
      <c r="A6" s="3" t="s">
        <v>5</v>
      </c>
      <c r="B6" s="4" t="s">
        <v>6</v>
      </c>
    </row>
    <row r="7" customFormat="false" ht="15" hidden="false" customHeight="true" outlineLevel="0" collapsed="false">
      <c r="A7" s="3" t="s">
        <v>7</v>
      </c>
      <c r="B7" s="4" t="s">
        <v>8</v>
      </c>
    </row>
    <row r="8" customFormat="false" ht="15" hidden="false" customHeight="true" outlineLevel="0" collapsed="false">
      <c r="A8" s="3" t="s">
        <v>9</v>
      </c>
      <c r="B8" s="4" t="s">
        <v>10</v>
      </c>
    </row>
    <row r="9" customFormat="false" ht="15" hidden="false" customHeight="true" outlineLevel="0" collapsed="false">
      <c r="A9" s="3" t="s">
        <v>11</v>
      </c>
      <c r="B9" s="4" t="s">
        <v>12</v>
      </c>
    </row>
    <row r="10" customFormat="false" ht="15" hidden="false" customHeight="true" outlineLevel="0" collapsed="false">
      <c r="A10" s="3"/>
      <c r="B10" s="4"/>
    </row>
    <row r="11" customFormat="false" ht="15" hidden="false" customHeight="true" outlineLevel="0" collapsed="false">
      <c r="A11" s="3" t="s">
        <v>13</v>
      </c>
      <c r="B11" s="4" t="s">
        <v>14</v>
      </c>
    </row>
    <row r="12" customFormat="false" ht="34.5" hidden="false" customHeight="true" outlineLevel="0" collapsed="false">
      <c r="A12" s="3" t="s">
        <v>15</v>
      </c>
      <c r="B12" s="4" t="s">
        <v>16</v>
      </c>
    </row>
    <row r="13" customFormat="false" ht="23.25" hidden="false" customHeight="true" outlineLevel="0" collapsed="false">
      <c r="A13" s="3" t="s">
        <v>17</v>
      </c>
      <c r="B13"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28"/>
    <col collapsed="false" customWidth="true" hidden="false" outlineLevel="0" max="4" min="3" style="1" width="18"/>
    <col collapsed="false" customWidth="true" hidden="false" outlineLevel="0" max="5" min="5" style="1" width="26"/>
    <col collapsed="false" customWidth="true" hidden="false" outlineLevel="0" max="6" min="6" style="1" width="50"/>
    <col collapsed="false" customWidth="true" hidden="false" outlineLevel="0" max="7" min="7" style="1" width="30"/>
    <col collapsed="false" customWidth="true" hidden="false" outlineLevel="0" max="8" min="8" style="1" width="12"/>
    <col collapsed="false" customWidth="true" hidden="false" outlineLevel="0" max="9" min="9" style="1" width="34"/>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6"/>
    <col collapsed="false" customWidth="true" hidden="false" outlineLevel="0" max="14" min="14" style="1" width="38"/>
    <col collapsed="false" customWidth="true" hidden="false" outlineLevel="0" max="15" min="15" style="1" width="42"/>
    <col collapsed="false" customWidth="true" hidden="false" outlineLevel="0" max="16" min="16" style="1" width="36"/>
    <col collapsed="false" customWidth="true" hidden="false" outlineLevel="0" max="17" min="17" style="1" width="60"/>
    <col collapsed="false" customWidth="true" hidden="false" outlineLevel="0" max="18" min="18" style="1" width="48"/>
    <col collapsed="false" customWidth="true" hidden="false" outlineLevel="0" max="19" min="19" style="1" width="40"/>
    <col collapsed="false" customWidth="true" hidden="false" outlineLevel="0" max="20" min="20" style="1" width="48"/>
    <col collapsed="false" customWidth="true" hidden="false" outlineLevel="0" max="21" min="21" style="1" width="34"/>
    <col collapsed="false" customWidth="true" hidden="false" outlineLevel="0" max="22" min="22" style="1" width="16"/>
    <col collapsed="false" customWidth="true" hidden="false" outlineLevel="0" max="23" min="23" style="0" width="44"/>
    <col collapsed="false" customWidth="true" hidden="false" outlineLevel="0" max="25" min="24" style="0" width="30"/>
    <col collapsed="false" customWidth="true" hidden="false" outlineLevel="0" max="27" min="26" style="0" width="44"/>
    <col collapsed="false" customWidth="true" hidden="false" outlineLevel="0" max="28" min="28" style="0" width="38"/>
    <col collapsed="false" customWidth="true" hidden="false" outlineLevel="0" max="29" min="29" style="0" width="60"/>
    <col collapsed="false" customWidth="true" hidden="false" outlineLevel="0" max="30" min="30" style="0" width="48"/>
    <col collapsed="false" customWidth="true" hidden="false" outlineLevel="0" max="31" min="31" style="0" width="40"/>
    <col collapsed="false" customWidth="true" hidden="false" outlineLevel="0" max="32" min="32" style="0" width="48"/>
    <col collapsed="false" customWidth="true" hidden="false" outlineLevel="0" max="33" min="33" style="0" width="36"/>
  </cols>
  <sheetData>
    <row r="1" customFormat="false" ht="31.5" hidden="false" customHeight="tru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c r="S1" s="6" t="s">
        <v>37</v>
      </c>
      <c r="T1" s="6" t="s">
        <v>38</v>
      </c>
      <c r="U1" s="6" t="s">
        <v>39</v>
      </c>
      <c r="V1" s="6" t="s">
        <v>40</v>
      </c>
      <c r="W1" s="6" t="s">
        <v>41</v>
      </c>
      <c r="X1" s="6" t="s">
        <v>42</v>
      </c>
      <c r="Y1" s="6" t="s">
        <v>43</v>
      </c>
      <c r="Z1" s="6" t="s">
        <v>44</v>
      </c>
      <c r="AA1" s="6" t="s">
        <v>45</v>
      </c>
      <c r="AB1" s="6" t="s">
        <v>46</v>
      </c>
      <c r="AC1" s="6" t="s">
        <v>47</v>
      </c>
      <c r="AD1" s="6" t="s">
        <v>48</v>
      </c>
      <c r="AE1" s="6" t="s">
        <v>49</v>
      </c>
      <c r="AF1" s="6" t="s">
        <v>50</v>
      </c>
      <c r="AG1" s="6" t="s">
        <v>51</v>
      </c>
      <c r="AI1" s="7" t="s">
        <v>52</v>
      </c>
    </row>
    <row r="2" customFormat="false" ht="34.5" hidden="false" customHeight="true" outlineLevel="0" collapsed="false">
      <c r="A2" s="8" t="s">
        <v>53</v>
      </c>
      <c r="B2" s="8" t="s">
        <v>54</v>
      </c>
      <c r="C2" s="8" t="s">
        <v>55</v>
      </c>
      <c r="D2" s="8" t="s">
        <v>56</v>
      </c>
      <c r="E2" s="8" t="s">
        <v>57</v>
      </c>
      <c r="F2" s="8" t="s">
        <v>58</v>
      </c>
      <c r="G2" s="8" t="s">
        <v>59</v>
      </c>
      <c r="H2" s="9"/>
      <c r="I2" s="8" t="s">
        <v>60</v>
      </c>
      <c r="J2" s="8" t="s">
        <v>61</v>
      </c>
      <c r="K2" s="9" t="n">
        <v>46299</v>
      </c>
      <c r="L2" s="10" t="str">
        <f aca="true">IF(OR(A2="",H2=""),"",H2-TODAY())</f>
        <v/>
      </c>
      <c r="M2" s="11" t="str">
        <f aca="false">IF(A2="","",IF(H2="","Уточняйте",IF(L2&lt;0,"Истёк",IF(L2&lt;=30,"Скоро дедлайн","Открыто"))))</f>
        <v>Уточняйте</v>
      </c>
      <c r="N2" s="8" t="s">
        <v>62</v>
      </c>
      <c r="O2" s="8" t="s">
        <v>63</v>
      </c>
      <c r="P2" s="8" t="s">
        <v>64</v>
      </c>
      <c r="Q2" s="8" t="s">
        <v>65</v>
      </c>
      <c r="R2" s="8" t="s">
        <v>66</v>
      </c>
      <c r="S2" s="8" t="s">
        <v>67</v>
      </c>
      <c r="T2" s="8" t="s">
        <v>68</v>
      </c>
      <c r="U2" s="8" t="s">
        <v>60</v>
      </c>
      <c r="V2" s="8" t="s">
        <v>69</v>
      </c>
      <c r="W2" s="8" t="s">
        <v>70</v>
      </c>
      <c r="X2" s="8" t="s">
        <v>71</v>
      </c>
      <c r="Y2" s="8" t="s">
        <v>72</v>
      </c>
      <c r="Z2" s="8" t="s">
        <v>73</v>
      </c>
      <c r="AA2" s="8" t="s">
        <v>74</v>
      </c>
      <c r="AB2" s="8" t="s">
        <v>75</v>
      </c>
      <c r="AC2" s="8" t="s">
        <v>76</v>
      </c>
      <c r="AD2" s="8" t="s">
        <v>77</v>
      </c>
      <c r="AE2" s="8" t="s">
        <v>78</v>
      </c>
      <c r="AF2" s="8" t="s">
        <v>79</v>
      </c>
      <c r="AG2" s="8" t="s">
        <v>80</v>
      </c>
    </row>
    <row r="3" customFormat="false" ht="34.5" hidden="false" customHeight="true" outlineLevel="0" collapsed="false">
      <c r="A3" s="8" t="s">
        <v>81</v>
      </c>
      <c r="B3" s="8" t="s">
        <v>82</v>
      </c>
      <c r="C3" s="8" t="s">
        <v>55</v>
      </c>
      <c r="D3" s="8" t="s">
        <v>56</v>
      </c>
      <c r="E3" s="8" t="s">
        <v>83</v>
      </c>
      <c r="F3" s="8" t="s">
        <v>84</v>
      </c>
      <c r="G3" s="8" t="s">
        <v>85</v>
      </c>
      <c r="H3" s="9"/>
      <c r="I3" s="8" t="s">
        <v>60</v>
      </c>
      <c r="J3" s="8" t="s">
        <v>61</v>
      </c>
      <c r="K3" s="9" t="n">
        <v>46299</v>
      </c>
      <c r="L3" s="10" t="str">
        <f aca="true">IF(OR(A3="",H3=""),"",H3-TODAY())</f>
        <v/>
      </c>
      <c r="M3" s="11" t="str">
        <f aca="false">IF(A3="","",IF(H3="","Уточняйте",IF(L3&lt;0,"Истёк",IF(L3&lt;=30,"Скоро дедлайн","Открыто"))))</f>
        <v>Уточняйте</v>
      </c>
      <c r="N3" s="8" t="s">
        <v>86</v>
      </c>
      <c r="O3" s="8" t="s">
        <v>87</v>
      </c>
      <c r="P3" s="8" t="s">
        <v>88</v>
      </c>
      <c r="Q3" s="8" t="s">
        <v>89</v>
      </c>
      <c r="R3" s="8" t="s">
        <v>90</v>
      </c>
      <c r="S3" s="8" t="s">
        <v>91</v>
      </c>
      <c r="T3" s="8" t="s">
        <v>92</v>
      </c>
      <c r="U3" s="8" t="s">
        <v>60</v>
      </c>
      <c r="V3" s="8" t="s">
        <v>69</v>
      </c>
      <c r="W3" s="8" t="s">
        <v>93</v>
      </c>
      <c r="X3" s="8" t="s">
        <v>94</v>
      </c>
      <c r="Y3" s="8" t="s">
        <v>95</v>
      </c>
      <c r="Z3" s="8" t="s">
        <v>96</v>
      </c>
      <c r="AA3" s="8" t="s">
        <v>97</v>
      </c>
      <c r="AB3" s="8" t="s">
        <v>98</v>
      </c>
      <c r="AC3" s="8" t="s">
        <v>99</v>
      </c>
      <c r="AD3" s="8" t="s">
        <v>100</v>
      </c>
      <c r="AE3" s="8" t="s">
        <v>101</v>
      </c>
      <c r="AF3" s="8" t="s">
        <v>102</v>
      </c>
      <c r="AG3" s="8" t="s">
        <v>103</v>
      </c>
    </row>
    <row r="4" customFormat="false" ht="34.5" hidden="false" customHeight="true" outlineLevel="0" collapsed="false">
      <c r="A4" s="8" t="s">
        <v>104</v>
      </c>
      <c r="B4" s="8" t="s">
        <v>105</v>
      </c>
      <c r="C4" s="8" t="s">
        <v>106</v>
      </c>
      <c r="D4" s="8" t="s">
        <v>56</v>
      </c>
      <c r="E4" s="8" t="s">
        <v>57</v>
      </c>
      <c r="F4" s="8" t="s">
        <v>107</v>
      </c>
      <c r="G4" s="8" t="s">
        <v>108</v>
      </c>
      <c r="H4" s="9"/>
      <c r="I4" s="8" t="s">
        <v>60</v>
      </c>
      <c r="J4" s="8" t="s">
        <v>61</v>
      </c>
      <c r="K4" s="9" t="n">
        <v>46299</v>
      </c>
      <c r="L4" s="10" t="str">
        <f aca="true">IF(OR(A4="",H4=""),"",H4-TODAY())</f>
        <v/>
      </c>
      <c r="M4" s="11" t="str">
        <f aca="false">IF(A4="","",IF(H4="","Уточняйте",IF(L4&lt;0,"Истёк",IF(L4&lt;=30,"Скоро дедлайн","Открыто"))))</f>
        <v>Уточняйте</v>
      </c>
      <c r="N4" s="8" t="s">
        <v>109</v>
      </c>
      <c r="O4" s="8" t="s">
        <v>110</v>
      </c>
      <c r="P4" s="8" t="s">
        <v>111</v>
      </c>
      <c r="Q4" s="8" t="s">
        <v>112</v>
      </c>
      <c r="R4" s="8" t="s">
        <v>113</v>
      </c>
      <c r="S4" s="8" t="s">
        <v>114</v>
      </c>
      <c r="T4" s="8" t="s">
        <v>115</v>
      </c>
      <c r="U4" s="8" t="s">
        <v>60</v>
      </c>
      <c r="V4" s="8" t="s">
        <v>69</v>
      </c>
      <c r="W4" s="8" t="s">
        <v>116</v>
      </c>
      <c r="X4" s="8" t="s">
        <v>117</v>
      </c>
      <c r="Y4" s="8" t="s">
        <v>118</v>
      </c>
      <c r="Z4" s="8" t="s">
        <v>119</v>
      </c>
      <c r="AA4" s="8" t="s">
        <v>120</v>
      </c>
      <c r="AB4" s="8" t="s">
        <v>121</v>
      </c>
      <c r="AC4" s="8" t="s">
        <v>122</v>
      </c>
      <c r="AD4" s="8" t="s">
        <v>123</v>
      </c>
      <c r="AE4" s="8" t="s">
        <v>124</v>
      </c>
      <c r="AF4" s="8" t="s">
        <v>125</v>
      </c>
      <c r="AG4" s="8" t="s">
        <v>126</v>
      </c>
    </row>
    <row r="5" customFormat="false" ht="34.5" hidden="false" customHeight="true" outlineLevel="0" collapsed="false">
      <c r="A5" s="8" t="s">
        <v>127</v>
      </c>
      <c r="B5" s="8" t="s">
        <v>128</v>
      </c>
      <c r="C5" s="8" t="s">
        <v>129</v>
      </c>
      <c r="D5" s="8" t="s">
        <v>56</v>
      </c>
      <c r="E5" s="8" t="s">
        <v>130</v>
      </c>
      <c r="F5" s="8" t="s">
        <v>131</v>
      </c>
      <c r="G5" s="8" t="s">
        <v>132</v>
      </c>
      <c r="H5" s="9"/>
      <c r="I5" s="8" t="s">
        <v>60</v>
      </c>
      <c r="J5" s="8" t="s">
        <v>61</v>
      </c>
      <c r="K5" s="9" t="n">
        <v>46299</v>
      </c>
      <c r="L5" s="10" t="str">
        <f aca="true">IF(OR(A5="",H5=""),"",H5-TODAY())</f>
        <v/>
      </c>
      <c r="M5" s="11" t="str">
        <f aca="false">IF(A5="","",IF(H5="","Уточняйте",IF(L5&lt;0,"Истёк",IF(L5&lt;=30,"Скоро дедлайн","Открыто"))))</f>
        <v>Уточняйте</v>
      </c>
      <c r="N5" s="8" t="s">
        <v>133</v>
      </c>
      <c r="O5" s="8" t="s">
        <v>134</v>
      </c>
      <c r="P5" s="8" t="s">
        <v>135</v>
      </c>
      <c r="Q5" s="8" t="s">
        <v>136</v>
      </c>
      <c r="R5" s="8" t="s">
        <v>137</v>
      </c>
      <c r="S5" s="8" t="s">
        <v>91</v>
      </c>
      <c r="T5" s="8" t="s">
        <v>138</v>
      </c>
      <c r="U5" s="8" t="s">
        <v>139</v>
      </c>
      <c r="V5" s="8" t="s">
        <v>140</v>
      </c>
      <c r="W5" s="8" t="s">
        <v>141</v>
      </c>
      <c r="X5" s="8" t="s">
        <v>142</v>
      </c>
      <c r="Y5" s="8" t="s">
        <v>143</v>
      </c>
      <c r="Z5" s="8" t="s">
        <v>144</v>
      </c>
      <c r="AA5" s="8" t="s">
        <v>145</v>
      </c>
      <c r="AB5" s="8" t="s">
        <v>146</v>
      </c>
      <c r="AC5" s="8" t="s">
        <v>147</v>
      </c>
      <c r="AD5" s="8" t="s">
        <v>148</v>
      </c>
      <c r="AE5" s="8" t="s">
        <v>101</v>
      </c>
      <c r="AF5" s="8" t="s">
        <v>149</v>
      </c>
      <c r="AG5" s="8" t="s">
        <v>150</v>
      </c>
    </row>
    <row r="6" customFormat="false" ht="34.5" hidden="false" customHeight="true" outlineLevel="0" collapsed="false">
      <c r="A6" s="8" t="s">
        <v>151</v>
      </c>
      <c r="B6" s="8" t="s">
        <v>128</v>
      </c>
      <c r="C6" s="8" t="s">
        <v>152</v>
      </c>
      <c r="D6" s="8" t="s">
        <v>56</v>
      </c>
      <c r="E6" s="8" t="s">
        <v>57</v>
      </c>
      <c r="F6" s="8" t="s">
        <v>153</v>
      </c>
      <c r="G6" s="8" t="s">
        <v>154</v>
      </c>
      <c r="H6" s="9"/>
      <c r="I6" s="8" t="s">
        <v>60</v>
      </c>
      <c r="J6" s="8" t="s">
        <v>61</v>
      </c>
      <c r="K6" s="9" t="n">
        <v>46299</v>
      </c>
      <c r="L6" s="10" t="str">
        <f aca="true">IF(OR(A6="",H6=""),"",H6-TODAY())</f>
        <v/>
      </c>
      <c r="M6" s="11" t="str">
        <f aca="false">IF(A6="","",IF(H6="","Уточняйте",IF(L6&lt;0,"Истёк",IF(L6&lt;=30,"Скоро дедлайн","Открыто"))))</f>
        <v>Уточняйте</v>
      </c>
      <c r="N6" s="8" t="s">
        <v>155</v>
      </c>
      <c r="O6" s="8" t="s">
        <v>156</v>
      </c>
      <c r="P6" s="8" t="s">
        <v>157</v>
      </c>
      <c r="Q6" s="8" t="s">
        <v>158</v>
      </c>
      <c r="R6" s="8" t="s">
        <v>159</v>
      </c>
      <c r="S6" s="8" t="s">
        <v>91</v>
      </c>
      <c r="T6" s="8" t="s">
        <v>160</v>
      </c>
      <c r="U6" s="8" t="s">
        <v>139</v>
      </c>
      <c r="V6" s="8" t="s">
        <v>140</v>
      </c>
      <c r="W6" s="8" t="s">
        <v>161</v>
      </c>
      <c r="X6" s="8" t="s">
        <v>162</v>
      </c>
      <c r="Y6" s="8" t="s">
        <v>163</v>
      </c>
      <c r="Z6" s="8" t="s">
        <v>164</v>
      </c>
      <c r="AA6" s="8" t="s">
        <v>165</v>
      </c>
      <c r="AB6" s="8" t="s">
        <v>166</v>
      </c>
      <c r="AC6" s="8" t="s">
        <v>167</v>
      </c>
      <c r="AD6" s="8" t="s">
        <v>168</v>
      </c>
      <c r="AE6" s="8" t="s">
        <v>101</v>
      </c>
      <c r="AF6" s="8" t="s">
        <v>169</v>
      </c>
      <c r="AG6" s="8" t="s">
        <v>170</v>
      </c>
    </row>
    <row r="7" customFormat="false" ht="34.5" hidden="false" customHeight="true" outlineLevel="0" collapsed="false">
      <c r="A7" s="8" t="s">
        <v>171</v>
      </c>
      <c r="B7" s="8" t="s">
        <v>172</v>
      </c>
      <c r="C7" s="8" t="s">
        <v>173</v>
      </c>
      <c r="D7" s="8" t="s">
        <v>56</v>
      </c>
      <c r="E7" s="8" t="s">
        <v>174</v>
      </c>
      <c r="F7" s="8" t="s">
        <v>175</v>
      </c>
      <c r="G7" s="8" t="s">
        <v>176</v>
      </c>
      <c r="H7" s="9"/>
      <c r="I7" s="8" t="s">
        <v>60</v>
      </c>
      <c r="J7" s="8" t="s">
        <v>61</v>
      </c>
      <c r="K7" s="9" t="n">
        <v>46299</v>
      </c>
      <c r="L7" s="10" t="str">
        <f aca="true">IF(OR(A7="",H7=""),"",H7-TODAY())</f>
        <v/>
      </c>
      <c r="M7" s="11" t="str">
        <f aca="false">IF(A7="","",IF(H7="","Уточняйте",IF(L7&lt;0,"Истёк",IF(L7&lt;=30,"Скоро дедлайн","Открыто"))))</f>
        <v>Уточняйте</v>
      </c>
      <c r="N7" s="8" t="s">
        <v>177</v>
      </c>
      <c r="O7" s="8" t="s">
        <v>178</v>
      </c>
      <c r="P7" s="8" t="s">
        <v>179</v>
      </c>
      <c r="Q7" s="8" t="s">
        <v>180</v>
      </c>
      <c r="R7" s="8" t="s">
        <v>181</v>
      </c>
      <c r="S7" s="8" t="s">
        <v>91</v>
      </c>
      <c r="T7" s="8" t="s">
        <v>182</v>
      </c>
      <c r="U7" s="8" t="s">
        <v>60</v>
      </c>
      <c r="V7" s="8" t="s">
        <v>69</v>
      </c>
      <c r="W7" s="8" t="s">
        <v>183</v>
      </c>
      <c r="X7" s="8" t="s">
        <v>184</v>
      </c>
      <c r="Y7" s="8" t="s">
        <v>185</v>
      </c>
      <c r="Z7" s="8" t="s">
        <v>186</v>
      </c>
      <c r="AA7" s="8" t="s">
        <v>187</v>
      </c>
      <c r="AB7" s="8" t="s">
        <v>188</v>
      </c>
      <c r="AC7" s="8" t="s">
        <v>189</v>
      </c>
      <c r="AD7" s="8" t="s">
        <v>190</v>
      </c>
      <c r="AE7" s="8" t="s">
        <v>101</v>
      </c>
      <c r="AF7" s="8" t="s">
        <v>191</v>
      </c>
      <c r="AG7" s="8" t="s">
        <v>192</v>
      </c>
    </row>
    <row r="8" customFormat="false" ht="34.5" hidden="false" customHeight="true" outlineLevel="0" collapsed="false">
      <c r="A8" s="8" t="s">
        <v>193</v>
      </c>
      <c r="B8" s="8" t="s">
        <v>194</v>
      </c>
      <c r="C8" s="8" t="s">
        <v>195</v>
      </c>
      <c r="D8" s="8" t="s">
        <v>56</v>
      </c>
      <c r="E8" s="8" t="s">
        <v>196</v>
      </c>
      <c r="F8" s="8" t="s">
        <v>197</v>
      </c>
      <c r="G8" s="8" t="s">
        <v>198</v>
      </c>
      <c r="H8" s="9"/>
      <c r="I8" s="8" t="s">
        <v>199</v>
      </c>
      <c r="J8" s="8" t="s">
        <v>61</v>
      </c>
      <c r="K8" s="9" t="n">
        <v>46299</v>
      </c>
      <c r="L8" s="10" t="str">
        <f aca="true">IF(OR(A8="",H8=""),"",H8-TODAY())</f>
        <v/>
      </c>
      <c r="M8" s="11" t="str">
        <f aca="false">IF(A8="","",IF(H8="","Уточняйте",IF(L8&lt;0,"Истёк",IF(L8&lt;=30,"Скоро дедлайн","Открыто"))))</f>
        <v>Уточняйте</v>
      </c>
      <c r="N8" s="8" t="s">
        <v>200</v>
      </c>
      <c r="O8" s="8" t="s">
        <v>201</v>
      </c>
      <c r="P8" s="8" t="s">
        <v>202</v>
      </c>
      <c r="Q8" s="8" t="s">
        <v>203</v>
      </c>
      <c r="R8" s="8" t="s">
        <v>204</v>
      </c>
      <c r="S8" s="8" t="s">
        <v>205</v>
      </c>
      <c r="T8" s="8" t="s">
        <v>206</v>
      </c>
      <c r="U8" s="8" t="s">
        <v>207</v>
      </c>
      <c r="V8" s="8" t="s">
        <v>140</v>
      </c>
      <c r="W8" s="8" t="s">
        <v>208</v>
      </c>
      <c r="X8" s="8" t="s">
        <v>194</v>
      </c>
      <c r="Y8" s="8" t="s">
        <v>209</v>
      </c>
      <c r="Z8" s="8" t="s">
        <v>210</v>
      </c>
      <c r="AA8" s="8" t="s">
        <v>211</v>
      </c>
      <c r="AB8" s="8" t="s">
        <v>212</v>
      </c>
      <c r="AC8" s="8" t="s">
        <v>213</v>
      </c>
      <c r="AD8" s="8" t="s">
        <v>214</v>
      </c>
      <c r="AE8" s="8" t="s">
        <v>215</v>
      </c>
      <c r="AF8" s="8" t="s">
        <v>216</v>
      </c>
      <c r="AG8" s="8" t="s">
        <v>217</v>
      </c>
    </row>
    <row r="9" customFormat="false" ht="34.5" hidden="false" customHeight="true" outlineLevel="0" collapsed="false">
      <c r="A9" s="8" t="s">
        <v>218</v>
      </c>
      <c r="B9" s="8" t="s">
        <v>219</v>
      </c>
      <c r="C9" s="8" t="s">
        <v>195</v>
      </c>
      <c r="D9" s="8" t="s">
        <v>220</v>
      </c>
      <c r="E9" s="8" t="s">
        <v>196</v>
      </c>
      <c r="F9" s="8" t="s">
        <v>221</v>
      </c>
      <c r="G9" s="8" t="s">
        <v>222</v>
      </c>
      <c r="H9" s="9"/>
      <c r="I9" s="8" t="s">
        <v>223</v>
      </c>
      <c r="J9" s="8" t="s">
        <v>224</v>
      </c>
      <c r="K9" s="9" t="n">
        <v>46299</v>
      </c>
      <c r="L9" s="10" t="str">
        <f aca="true">IF(OR(A9="",H9=""),"",H9-TODAY())</f>
        <v/>
      </c>
      <c r="M9" s="11" t="str">
        <f aca="false">IF(A9="","",IF(H9="","Уточняйте",IF(L9&lt;0,"Истёк",IF(L9&lt;=30,"Скоро дедлайн","Открыто"))))</f>
        <v>Уточняйте</v>
      </c>
      <c r="N9" s="8" t="s">
        <v>225</v>
      </c>
      <c r="O9" s="8" t="s">
        <v>226</v>
      </c>
      <c r="P9" s="8" t="s">
        <v>227</v>
      </c>
      <c r="Q9" s="8" t="s">
        <v>228</v>
      </c>
      <c r="R9" s="8" t="s">
        <v>229</v>
      </c>
      <c r="S9" s="8" t="s">
        <v>230</v>
      </c>
      <c r="T9" s="8" t="s">
        <v>231</v>
      </c>
      <c r="U9" s="8" t="s">
        <v>223</v>
      </c>
      <c r="V9" s="8" t="s">
        <v>69</v>
      </c>
      <c r="W9" s="8"/>
      <c r="X9" s="8"/>
      <c r="Y9" s="8"/>
      <c r="Z9" s="8"/>
      <c r="AA9" s="8"/>
      <c r="AB9" s="8"/>
      <c r="AC9" s="8"/>
      <c r="AD9" s="8"/>
      <c r="AE9" s="8"/>
      <c r="AF9" s="8"/>
      <c r="AG9" s="8"/>
    </row>
    <row r="10" customFormat="false" ht="15" hidden="false" customHeight="true" outlineLevel="0" collapsed="false">
      <c r="A10" s="8"/>
      <c r="B10" s="8"/>
      <c r="C10" s="8"/>
      <c r="D10" s="8"/>
      <c r="E10" s="8"/>
      <c r="F10" s="8"/>
      <c r="G10" s="8"/>
      <c r="H10" s="9"/>
      <c r="I10" s="8"/>
      <c r="J10" s="8"/>
      <c r="K10" s="9"/>
      <c r="L10" s="10" t="str">
        <f aca="true">IF(OR(A10="",H10=""),"",H10-TODAY())</f>
        <v/>
      </c>
      <c r="M10" s="11" t="str">
        <f aca="false">IF(A10="","",IF(H10="","Уточняйте",IF(L10&lt;0,"Истёк",IF(L10&lt;=30,"Скоро дедлайн","Открыто"))))</f>
        <v/>
      </c>
      <c r="N10" s="8"/>
      <c r="O10" s="8"/>
      <c r="P10" s="8"/>
      <c r="Q10" s="8"/>
      <c r="R10" s="8"/>
      <c r="S10" s="8"/>
      <c r="T10" s="8"/>
      <c r="U10" s="8"/>
      <c r="V10" s="8"/>
      <c r="W10" s="8"/>
      <c r="X10" s="8"/>
      <c r="Y10" s="8"/>
      <c r="Z10" s="8"/>
      <c r="AA10" s="8"/>
      <c r="AB10" s="8"/>
      <c r="AC10" s="8"/>
      <c r="AD10" s="8"/>
      <c r="AE10" s="8"/>
      <c r="AF10" s="8"/>
      <c r="AG10" s="8"/>
    </row>
    <row r="11" customFormat="false" ht="15" hidden="false" customHeight="true" outlineLevel="0" collapsed="false">
      <c r="A11" s="8"/>
      <c r="B11" s="8"/>
      <c r="C11" s="8"/>
      <c r="D11" s="8"/>
      <c r="E11" s="8"/>
      <c r="F11" s="8"/>
      <c r="G11" s="8"/>
      <c r="H11" s="9"/>
      <c r="I11" s="8"/>
      <c r="J11" s="8"/>
      <c r="K11" s="9"/>
      <c r="L11" s="10" t="str">
        <f aca="true">IF(OR(A11="",H11=""),"",H11-TODAY())</f>
        <v/>
      </c>
      <c r="M11" s="11" t="str">
        <f aca="false">IF(A11="","",IF(H11="","Уточняйте",IF(L11&lt;0,"Истёк",IF(L11&lt;=30,"Скоро дедлайн","Открыто"))))</f>
        <v/>
      </c>
      <c r="N11" s="8"/>
      <c r="O11" s="8"/>
      <c r="P11" s="8"/>
      <c r="Q11" s="8"/>
      <c r="R11" s="8"/>
      <c r="S11" s="8"/>
      <c r="T11" s="8"/>
      <c r="U11" s="8"/>
      <c r="V11" s="8"/>
      <c r="W11" s="8"/>
      <c r="X11" s="8"/>
      <c r="Y11" s="8"/>
      <c r="Z11" s="8"/>
      <c r="AA11" s="8"/>
      <c r="AB11" s="8"/>
      <c r="AC11" s="8"/>
      <c r="AD11" s="8"/>
      <c r="AE11" s="8"/>
      <c r="AF11" s="8"/>
      <c r="AG11" s="8"/>
    </row>
    <row r="12" customFormat="false" ht="15" hidden="false" customHeight="true" outlineLevel="0" collapsed="false">
      <c r="A12" s="8"/>
      <c r="B12" s="8"/>
      <c r="C12" s="8"/>
      <c r="D12" s="8"/>
      <c r="E12" s="8"/>
      <c r="F12" s="8"/>
      <c r="G12" s="8"/>
      <c r="H12" s="9"/>
      <c r="I12" s="8"/>
      <c r="J12" s="8"/>
      <c r="K12" s="9"/>
      <c r="L12" s="10" t="str">
        <f aca="true">IF(OR(A12="",H12=""),"",H12-TODAY())</f>
        <v/>
      </c>
      <c r="M12" s="11" t="str">
        <f aca="false">IF(A12="","",IF(H12="","Уточняйте",IF(L12&lt;0,"Истёк",IF(L12&lt;=30,"Скоро дедлайн","Открыто"))))</f>
        <v/>
      </c>
      <c r="N12" s="8"/>
      <c r="O12" s="8"/>
      <c r="P12" s="8"/>
      <c r="Q12" s="8"/>
      <c r="R12" s="8"/>
      <c r="S12" s="8"/>
      <c r="T12" s="8"/>
      <c r="U12" s="8"/>
      <c r="V12" s="8"/>
      <c r="W12" s="8"/>
      <c r="X12" s="8"/>
      <c r="Y12" s="8"/>
      <c r="Z12" s="8"/>
      <c r="AA12" s="8"/>
      <c r="AB12" s="8"/>
      <c r="AC12" s="8"/>
      <c r="AD12" s="8"/>
      <c r="AE12" s="8"/>
      <c r="AF12" s="8"/>
      <c r="AG12" s="8"/>
    </row>
    <row r="13" customFormat="false" ht="15" hidden="false" customHeight="true" outlineLevel="0" collapsed="false">
      <c r="A13" s="8"/>
      <c r="B13" s="8"/>
      <c r="C13" s="8"/>
      <c r="D13" s="8"/>
      <c r="E13" s="8"/>
      <c r="F13" s="8"/>
      <c r="G13" s="8"/>
      <c r="H13" s="9"/>
      <c r="I13" s="8"/>
      <c r="J13" s="8"/>
      <c r="K13" s="9"/>
      <c r="L13" s="10" t="str">
        <f aca="true">IF(OR(A13="",H13=""),"",H13-TODAY())</f>
        <v/>
      </c>
      <c r="M13" s="11" t="str">
        <f aca="false">IF(A13="","",IF(H13="","Уточняйте",IF(L13&lt;0,"Истёк",IF(L13&lt;=30,"Скоро дедлайн","Открыто"))))</f>
        <v/>
      </c>
      <c r="N13" s="8"/>
      <c r="O13" s="8"/>
      <c r="P13" s="8"/>
      <c r="Q13" s="8"/>
      <c r="R13" s="8"/>
      <c r="S13" s="8"/>
      <c r="T13" s="8"/>
      <c r="U13" s="8"/>
      <c r="V13" s="8"/>
      <c r="W13" s="8"/>
      <c r="X13" s="8"/>
      <c r="Y13" s="8"/>
      <c r="Z13" s="8"/>
      <c r="AA13" s="8"/>
      <c r="AB13" s="8"/>
      <c r="AC13" s="8"/>
      <c r="AD13" s="8"/>
      <c r="AE13" s="8"/>
      <c r="AF13" s="8"/>
      <c r="AG13" s="8"/>
    </row>
    <row r="14" customFormat="false" ht="15" hidden="false" customHeight="true" outlineLevel="0" collapsed="false">
      <c r="A14" s="8"/>
      <c r="B14" s="8"/>
      <c r="C14" s="8"/>
      <c r="D14" s="8"/>
      <c r="E14" s="8"/>
      <c r="F14" s="8"/>
      <c r="G14" s="8"/>
      <c r="H14" s="9"/>
      <c r="I14" s="8"/>
      <c r="J14" s="8"/>
      <c r="K14" s="9"/>
      <c r="L14" s="10" t="str">
        <f aca="true">IF(OR(A14="",H14=""),"",H14-TODAY())</f>
        <v/>
      </c>
      <c r="M14" s="11" t="str">
        <f aca="false">IF(A14="","",IF(H14="","Уточняйте",IF(L14&lt;0,"Истёк",IF(L14&lt;=30,"Скоро дедлайн","Открыто"))))</f>
        <v/>
      </c>
      <c r="N14" s="8"/>
      <c r="O14" s="8"/>
      <c r="P14" s="8"/>
      <c r="Q14" s="8"/>
      <c r="R14" s="8"/>
      <c r="S14" s="8"/>
      <c r="T14" s="8"/>
      <c r="U14" s="8"/>
      <c r="V14" s="8"/>
      <c r="W14" s="8"/>
      <c r="X14" s="8"/>
      <c r="Y14" s="8"/>
      <c r="Z14" s="8"/>
      <c r="AA14" s="8"/>
      <c r="AB14" s="8"/>
      <c r="AC14" s="8"/>
      <c r="AD14" s="8"/>
      <c r="AE14" s="8"/>
      <c r="AF14" s="8"/>
      <c r="AG14" s="8"/>
    </row>
    <row r="15" customFormat="false" ht="15" hidden="false" customHeight="true" outlineLevel="0" collapsed="false">
      <c r="A15" s="8"/>
      <c r="B15" s="8"/>
      <c r="C15" s="8"/>
      <c r="D15" s="8"/>
      <c r="E15" s="8"/>
      <c r="F15" s="8"/>
      <c r="G15" s="8"/>
      <c r="H15" s="9"/>
      <c r="I15" s="8"/>
      <c r="J15" s="8"/>
      <c r="K15" s="9"/>
      <c r="L15" s="10" t="str">
        <f aca="true">IF(OR(A15="",H15=""),"",H15-TODAY())</f>
        <v/>
      </c>
      <c r="M15" s="11" t="str">
        <f aca="false">IF(A15="","",IF(H15="","Уточняйте",IF(L15&lt;0,"Истёк",IF(L15&lt;=30,"Скоро дедлайн","Открыто"))))</f>
        <v/>
      </c>
      <c r="N15" s="8"/>
      <c r="O15" s="8"/>
      <c r="P15" s="8"/>
      <c r="Q15" s="8"/>
      <c r="R15" s="8"/>
      <c r="S15" s="8"/>
      <c r="T15" s="8"/>
      <c r="U15" s="8"/>
      <c r="V15" s="8"/>
      <c r="W15" s="8"/>
      <c r="X15" s="8"/>
      <c r="Y15" s="8"/>
      <c r="Z15" s="8"/>
      <c r="AA15" s="8"/>
      <c r="AB15" s="8"/>
      <c r="AC15" s="8"/>
      <c r="AD15" s="8"/>
      <c r="AE15" s="8"/>
      <c r="AF15" s="8"/>
      <c r="AG15" s="8"/>
    </row>
    <row r="16" customFormat="false" ht="15" hidden="false" customHeight="true" outlineLevel="0" collapsed="false">
      <c r="A16" s="8"/>
      <c r="B16" s="8"/>
      <c r="C16" s="8"/>
      <c r="D16" s="8"/>
      <c r="E16" s="8"/>
      <c r="F16" s="8"/>
      <c r="G16" s="8"/>
      <c r="H16" s="9"/>
      <c r="I16" s="8"/>
      <c r="J16" s="8"/>
      <c r="K16" s="9"/>
      <c r="L16" s="10" t="str">
        <f aca="true">IF(OR(A16="",H16=""),"",H16-TODAY())</f>
        <v/>
      </c>
      <c r="M16" s="11" t="str">
        <f aca="false">IF(A16="","",IF(H16="","Уточняйте",IF(L16&lt;0,"Истёк",IF(L16&lt;=30,"Скоро дедлайн","Открыто"))))</f>
        <v/>
      </c>
      <c r="N16" s="8"/>
      <c r="O16" s="8"/>
      <c r="P16" s="8"/>
      <c r="Q16" s="8"/>
      <c r="R16" s="8"/>
      <c r="S16" s="8"/>
      <c r="T16" s="8"/>
      <c r="U16" s="8"/>
      <c r="V16" s="8"/>
      <c r="W16" s="8"/>
      <c r="X16" s="8"/>
      <c r="Y16" s="8"/>
      <c r="Z16" s="8"/>
      <c r="AA16" s="8"/>
      <c r="AB16" s="8"/>
      <c r="AC16" s="8"/>
      <c r="AD16" s="8"/>
      <c r="AE16" s="8"/>
      <c r="AF16" s="8"/>
      <c r="AG16" s="8"/>
    </row>
    <row r="17" customFormat="false" ht="15" hidden="false" customHeight="true" outlineLevel="0" collapsed="false">
      <c r="A17" s="8"/>
      <c r="B17" s="8"/>
      <c r="C17" s="8"/>
      <c r="D17" s="8"/>
      <c r="E17" s="8"/>
      <c r="F17" s="8"/>
      <c r="G17" s="8"/>
      <c r="H17" s="9"/>
      <c r="I17" s="8"/>
      <c r="J17" s="8"/>
      <c r="K17" s="9"/>
      <c r="L17" s="10" t="str">
        <f aca="true">IF(OR(A17="",H17=""),"",H17-TODAY())</f>
        <v/>
      </c>
      <c r="M17" s="11" t="str">
        <f aca="false">IF(A17="","",IF(H17="","Уточняйте",IF(L17&lt;0,"Истёк",IF(L17&lt;=30,"Скоро дедлайн","Открыто"))))</f>
        <v/>
      </c>
      <c r="N17" s="8"/>
      <c r="O17" s="8"/>
      <c r="P17" s="8"/>
      <c r="Q17" s="8"/>
      <c r="R17" s="8"/>
      <c r="S17" s="8"/>
      <c r="T17" s="8"/>
      <c r="U17" s="8"/>
      <c r="V17" s="8"/>
      <c r="W17" s="8"/>
      <c r="X17" s="8"/>
      <c r="Y17" s="8"/>
      <c r="Z17" s="8"/>
      <c r="AA17" s="8"/>
      <c r="AB17" s="8"/>
      <c r="AC17" s="8"/>
      <c r="AD17" s="8"/>
      <c r="AE17" s="8"/>
      <c r="AF17" s="8"/>
      <c r="AG17" s="8"/>
    </row>
    <row r="18" customFormat="false" ht="15" hidden="false" customHeight="true" outlineLevel="0" collapsed="false">
      <c r="A18" s="8"/>
      <c r="B18" s="8"/>
      <c r="C18" s="8"/>
      <c r="D18" s="8"/>
      <c r="E18" s="8"/>
      <c r="F18" s="8"/>
      <c r="G18" s="8"/>
      <c r="H18" s="9"/>
      <c r="I18" s="8"/>
      <c r="J18" s="8"/>
      <c r="K18" s="9"/>
      <c r="L18" s="10" t="str">
        <f aca="true">IF(OR(A18="",H18=""),"",H18-TODAY())</f>
        <v/>
      </c>
      <c r="M18" s="11" t="str">
        <f aca="false">IF(A18="","",IF(H18="","Уточняйте",IF(L18&lt;0,"Истёк",IF(L18&lt;=30,"Скоро дедлайн","Открыто"))))</f>
        <v/>
      </c>
      <c r="N18" s="8"/>
      <c r="O18" s="8"/>
      <c r="P18" s="8"/>
      <c r="Q18" s="8"/>
      <c r="R18" s="8"/>
      <c r="S18" s="8"/>
      <c r="T18" s="8"/>
      <c r="U18" s="8"/>
      <c r="V18" s="8"/>
      <c r="W18" s="8"/>
      <c r="X18" s="8"/>
      <c r="Y18" s="8"/>
      <c r="Z18" s="8"/>
      <c r="AA18" s="8"/>
      <c r="AB18" s="8"/>
      <c r="AC18" s="8"/>
      <c r="AD18" s="8"/>
      <c r="AE18" s="8"/>
      <c r="AF18" s="8"/>
      <c r="AG18" s="8"/>
    </row>
    <row r="19" customFormat="false" ht="15" hidden="false" customHeight="true" outlineLevel="0" collapsed="false">
      <c r="A19" s="8"/>
      <c r="B19" s="8"/>
      <c r="C19" s="8"/>
      <c r="D19" s="8"/>
      <c r="E19" s="8"/>
      <c r="F19" s="8"/>
      <c r="G19" s="8"/>
      <c r="H19" s="9"/>
      <c r="I19" s="8"/>
      <c r="J19" s="8"/>
      <c r="K19" s="9"/>
      <c r="L19" s="10" t="str">
        <f aca="true">IF(OR(A19="",H19=""),"",H19-TODAY())</f>
        <v/>
      </c>
      <c r="M19" s="11" t="str">
        <f aca="false">IF(A19="","",IF(H19="","Уточняйте",IF(L19&lt;0,"Истёк",IF(L19&lt;=30,"Скоро дедлайн","Открыто"))))</f>
        <v/>
      </c>
      <c r="N19" s="8"/>
      <c r="O19" s="8"/>
      <c r="P19" s="8"/>
      <c r="Q19" s="8"/>
      <c r="R19" s="8"/>
      <c r="S19" s="8"/>
      <c r="T19" s="8"/>
      <c r="U19" s="8"/>
      <c r="V19" s="8"/>
      <c r="W19" s="8"/>
      <c r="X19" s="8"/>
      <c r="Y19" s="8"/>
      <c r="Z19" s="8"/>
      <c r="AA19" s="8"/>
      <c r="AB19" s="8"/>
      <c r="AC19" s="8"/>
      <c r="AD19" s="8"/>
      <c r="AE19" s="8"/>
      <c r="AF19" s="8"/>
      <c r="AG19" s="8"/>
    </row>
    <row r="20" customFormat="false" ht="15" hidden="false" customHeight="true" outlineLevel="0" collapsed="false">
      <c r="A20" s="8"/>
      <c r="B20" s="8"/>
      <c r="C20" s="8"/>
      <c r="D20" s="8"/>
      <c r="E20" s="8"/>
      <c r="F20" s="8"/>
      <c r="G20" s="8"/>
      <c r="H20" s="9"/>
      <c r="I20" s="8"/>
      <c r="J20" s="8"/>
      <c r="K20" s="9"/>
      <c r="L20" s="10" t="str">
        <f aca="true">IF(OR(A20="",H20=""),"",H20-TODAY())</f>
        <v/>
      </c>
      <c r="M20" s="11" t="str">
        <f aca="false">IF(A20="","",IF(H20="","Уточняйте",IF(L20&lt;0,"Истёк",IF(L20&lt;=30,"Скоро дедлайн","Открыто"))))</f>
        <v/>
      </c>
      <c r="N20" s="8"/>
      <c r="O20" s="8"/>
      <c r="P20" s="8"/>
      <c r="Q20" s="8"/>
      <c r="R20" s="8"/>
      <c r="S20" s="8"/>
      <c r="T20" s="8"/>
      <c r="U20" s="8"/>
      <c r="V20" s="8"/>
      <c r="W20" s="8"/>
      <c r="X20" s="8"/>
      <c r="Y20" s="8"/>
      <c r="Z20" s="8"/>
      <c r="AA20" s="8"/>
      <c r="AB20" s="8"/>
      <c r="AC20" s="8"/>
      <c r="AD20" s="8"/>
      <c r="AE20" s="8"/>
      <c r="AF20" s="8"/>
      <c r="AG20" s="8"/>
    </row>
    <row r="21" customFormat="false" ht="15" hidden="false" customHeight="true" outlineLevel="0" collapsed="false">
      <c r="A21" s="8"/>
      <c r="B21" s="8"/>
      <c r="C21" s="8"/>
      <c r="D21" s="8"/>
      <c r="E21" s="8"/>
      <c r="F21" s="8"/>
      <c r="G21" s="8"/>
      <c r="H21" s="9"/>
      <c r="I21" s="8"/>
      <c r="J21" s="8"/>
      <c r="K21" s="9"/>
      <c r="L21" s="10" t="str">
        <f aca="true">IF(OR(A21="",H21=""),"",H21-TODAY())</f>
        <v/>
      </c>
      <c r="M21" s="11" t="str">
        <f aca="false">IF(A21="","",IF(H21="","Уточняйте",IF(L21&lt;0,"Истёк",IF(L21&lt;=30,"Скоро дедлайн","Открыто"))))</f>
        <v/>
      </c>
      <c r="N21" s="8"/>
      <c r="O21" s="8"/>
      <c r="P21" s="8"/>
      <c r="Q21" s="8"/>
      <c r="R21" s="8"/>
      <c r="S21" s="8"/>
      <c r="T21" s="8"/>
      <c r="U21" s="8"/>
      <c r="V21" s="8"/>
      <c r="W21" s="8"/>
      <c r="X21" s="8"/>
      <c r="Y21" s="8"/>
      <c r="Z21" s="8"/>
      <c r="AA21" s="8"/>
      <c r="AB21" s="8"/>
      <c r="AC21" s="8"/>
      <c r="AD21" s="8"/>
      <c r="AE21" s="8"/>
      <c r="AF21" s="8"/>
      <c r="AG21" s="8"/>
    </row>
    <row r="22" customFormat="false" ht="15" hidden="false" customHeight="true" outlineLevel="0" collapsed="false">
      <c r="A22" s="8"/>
      <c r="B22" s="8"/>
      <c r="C22" s="8"/>
      <c r="D22" s="8"/>
      <c r="E22" s="8"/>
      <c r="F22" s="8"/>
      <c r="G22" s="8"/>
      <c r="H22" s="9"/>
      <c r="I22" s="8"/>
      <c r="J22" s="8"/>
      <c r="K22" s="9"/>
      <c r="L22" s="10" t="str">
        <f aca="true">IF(OR(A22="",H22=""),"",H22-TODAY())</f>
        <v/>
      </c>
      <c r="M22" s="11" t="str">
        <f aca="false">IF(A22="","",IF(H22="","Уточняйте",IF(L22&lt;0,"Истёк",IF(L22&lt;=30,"Скоро дедлайн","Открыто"))))</f>
        <v/>
      </c>
      <c r="N22" s="8"/>
      <c r="O22" s="8"/>
      <c r="P22" s="8"/>
      <c r="Q22" s="8"/>
      <c r="R22" s="8"/>
      <c r="S22" s="8"/>
      <c r="T22" s="8"/>
      <c r="U22" s="8"/>
      <c r="V22" s="8"/>
      <c r="W22" s="8"/>
      <c r="X22" s="8"/>
      <c r="Y22" s="8"/>
      <c r="Z22" s="8"/>
      <c r="AA22" s="8"/>
      <c r="AB22" s="8"/>
      <c r="AC22" s="8"/>
      <c r="AD22" s="8"/>
      <c r="AE22" s="8"/>
      <c r="AF22" s="8"/>
      <c r="AG22" s="8"/>
    </row>
    <row r="23" customFormat="false" ht="15" hidden="false" customHeight="true" outlineLevel="0" collapsed="false">
      <c r="A23" s="8"/>
      <c r="B23" s="8"/>
      <c r="C23" s="8"/>
      <c r="D23" s="8"/>
      <c r="E23" s="8"/>
      <c r="F23" s="8"/>
      <c r="G23" s="8"/>
      <c r="H23" s="9"/>
      <c r="I23" s="8"/>
      <c r="J23" s="8"/>
      <c r="K23" s="9"/>
      <c r="L23" s="10" t="str">
        <f aca="true">IF(OR(A23="",H23=""),"",H23-TODAY())</f>
        <v/>
      </c>
      <c r="M23" s="11" t="str">
        <f aca="false">IF(A23="","",IF(H23="","Уточняйте",IF(L23&lt;0,"Истёк",IF(L23&lt;=30,"Скоро дедлайн","Открыто"))))</f>
        <v/>
      </c>
      <c r="N23" s="8"/>
      <c r="O23" s="8"/>
      <c r="P23" s="8"/>
      <c r="Q23" s="8"/>
      <c r="R23" s="8"/>
      <c r="S23" s="8"/>
      <c r="T23" s="8"/>
      <c r="U23" s="8"/>
      <c r="V23" s="8"/>
      <c r="W23" s="8"/>
      <c r="X23" s="8"/>
      <c r="Y23" s="8"/>
      <c r="Z23" s="8"/>
      <c r="AA23" s="8"/>
      <c r="AB23" s="8"/>
      <c r="AC23" s="8"/>
      <c r="AD23" s="8"/>
      <c r="AE23" s="8"/>
      <c r="AF23" s="8"/>
      <c r="AG23" s="8"/>
    </row>
    <row r="24" customFormat="false" ht="15" hidden="false" customHeight="true" outlineLevel="0" collapsed="false">
      <c r="A24" s="8"/>
      <c r="B24" s="8"/>
      <c r="C24" s="8"/>
      <c r="D24" s="8"/>
      <c r="E24" s="8"/>
      <c r="F24" s="8"/>
      <c r="G24" s="8"/>
      <c r="H24" s="9"/>
      <c r="I24" s="8"/>
      <c r="J24" s="8"/>
      <c r="K24" s="9"/>
      <c r="L24" s="10" t="str">
        <f aca="true">IF(OR(A24="",H24=""),"",H24-TODAY())</f>
        <v/>
      </c>
      <c r="M24" s="11" t="str">
        <f aca="false">IF(A24="","",IF(H24="","Уточняйте",IF(L24&lt;0,"Истёк",IF(L24&lt;=30,"Скоро дедлайн","Открыто"))))</f>
        <v/>
      </c>
      <c r="N24" s="8"/>
      <c r="O24" s="8"/>
      <c r="P24" s="8"/>
      <c r="Q24" s="8"/>
      <c r="R24" s="8"/>
      <c r="S24" s="8"/>
      <c r="T24" s="8"/>
      <c r="U24" s="8"/>
      <c r="V24" s="8"/>
      <c r="W24" s="8"/>
      <c r="X24" s="8"/>
      <c r="Y24" s="8"/>
      <c r="Z24" s="8"/>
      <c r="AA24" s="8"/>
      <c r="AB24" s="8"/>
      <c r="AC24" s="8"/>
      <c r="AD24" s="8"/>
      <c r="AE24" s="8"/>
      <c r="AF24" s="8"/>
      <c r="AG24" s="8"/>
    </row>
    <row r="25" customFormat="false" ht="15" hidden="false" customHeight="true" outlineLevel="0" collapsed="false">
      <c r="A25" s="8"/>
      <c r="B25" s="8"/>
      <c r="C25" s="8"/>
      <c r="D25" s="8"/>
      <c r="E25" s="8"/>
      <c r="F25" s="8"/>
      <c r="G25" s="8"/>
      <c r="H25" s="9"/>
      <c r="I25" s="8"/>
      <c r="J25" s="8"/>
      <c r="K25" s="9"/>
      <c r="L25" s="10" t="str">
        <f aca="true">IF(OR(A25="",H25=""),"",H25-TODAY())</f>
        <v/>
      </c>
      <c r="M25" s="11" t="str">
        <f aca="false">IF(A25="","",IF(H25="","Уточняйте",IF(L25&lt;0,"Истёк",IF(L25&lt;=30,"Скоро дедлайн","Открыто"))))</f>
        <v/>
      </c>
      <c r="N25" s="8"/>
      <c r="O25" s="8"/>
      <c r="P25" s="8"/>
      <c r="Q25" s="8"/>
      <c r="R25" s="8"/>
      <c r="S25" s="8"/>
      <c r="T25" s="8"/>
      <c r="U25" s="8"/>
      <c r="V25" s="8"/>
      <c r="W25" s="8"/>
      <c r="X25" s="8"/>
      <c r="Y25" s="8"/>
      <c r="Z25" s="8"/>
      <c r="AA25" s="8"/>
      <c r="AB25" s="8"/>
      <c r="AC25" s="8"/>
      <c r="AD25" s="8"/>
      <c r="AE25" s="8"/>
      <c r="AF25" s="8"/>
      <c r="AG25" s="8"/>
    </row>
    <row r="26" customFormat="false" ht="15" hidden="false" customHeight="true" outlineLevel="0" collapsed="false">
      <c r="A26" s="8"/>
      <c r="B26" s="8"/>
      <c r="C26" s="8"/>
      <c r="D26" s="8"/>
      <c r="E26" s="8"/>
      <c r="F26" s="8"/>
      <c r="G26" s="8"/>
      <c r="H26" s="9"/>
      <c r="I26" s="8"/>
      <c r="J26" s="8"/>
      <c r="K26" s="9"/>
      <c r="L26" s="10" t="str">
        <f aca="true">IF(OR(A26="",H26=""),"",H26-TODAY())</f>
        <v/>
      </c>
      <c r="M26" s="11" t="str">
        <f aca="false">IF(A26="","",IF(H26="","Уточняйте",IF(L26&lt;0,"Истёк",IF(L26&lt;=30,"Скоро дедлайн","Открыто"))))</f>
        <v/>
      </c>
      <c r="N26" s="8"/>
      <c r="O26" s="8"/>
      <c r="P26" s="8"/>
      <c r="Q26" s="8"/>
      <c r="R26" s="8"/>
      <c r="S26" s="8"/>
      <c r="T26" s="8"/>
      <c r="U26" s="8"/>
      <c r="V26" s="8"/>
      <c r="W26" s="8"/>
      <c r="X26" s="8"/>
      <c r="Y26" s="8"/>
      <c r="Z26" s="8"/>
      <c r="AA26" s="8"/>
      <c r="AB26" s="8"/>
      <c r="AC26" s="8"/>
      <c r="AD26" s="8"/>
      <c r="AE26" s="8"/>
      <c r="AF26" s="8"/>
      <c r="AG26" s="8"/>
    </row>
    <row r="27" customFormat="false" ht="15" hidden="false" customHeight="true" outlineLevel="0" collapsed="false">
      <c r="A27" s="8"/>
      <c r="B27" s="8"/>
      <c r="C27" s="8"/>
      <c r="D27" s="8"/>
      <c r="E27" s="8"/>
      <c r="F27" s="8"/>
      <c r="G27" s="8"/>
      <c r="H27" s="9"/>
      <c r="I27" s="8"/>
      <c r="J27" s="8"/>
      <c r="K27" s="9"/>
      <c r="L27" s="10" t="str">
        <f aca="true">IF(OR(A27="",H27=""),"",H27-TODAY())</f>
        <v/>
      </c>
      <c r="M27" s="11" t="str">
        <f aca="false">IF(A27="","",IF(H27="","Уточняйте",IF(L27&lt;0,"Истёк",IF(L27&lt;=30,"Скоро дедлайн","Открыто"))))</f>
        <v/>
      </c>
      <c r="N27" s="8"/>
      <c r="O27" s="8"/>
      <c r="P27" s="8"/>
      <c r="Q27" s="8"/>
      <c r="R27" s="8"/>
      <c r="S27" s="8"/>
      <c r="T27" s="8"/>
      <c r="U27" s="8"/>
      <c r="V27" s="8"/>
      <c r="W27" s="8"/>
      <c r="X27" s="8"/>
      <c r="Y27" s="8"/>
      <c r="Z27" s="8"/>
      <c r="AA27" s="8"/>
      <c r="AB27" s="8"/>
      <c r="AC27" s="8"/>
      <c r="AD27" s="8"/>
      <c r="AE27" s="8"/>
      <c r="AF27" s="8"/>
      <c r="AG27" s="8"/>
    </row>
    <row r="28" customFormat="false" ht="15" hidden="false" customHeight="true" outlineLevel="0" collapsed="false">
      <c r="A28" s="8"/>
      <c r="B28" s="8"/>
      <c r="C28" s="8"/>
      <c r="D28" s="8"/>
      <c r="E28" s="8"/>
      <c r="F28" s="8"/>
      <c r="G28" s="8"/>
      <c r="H28" s="9"/>
      <c r="I28" s="8"/>
      <c r="J28" s="8"/>
      <c r="K28" s="9"/>
      <c r="L28" s="10" t="str">
        <f aca="true">IF(OR(A28="",H28=""),"",H28-TODAY())</f>
        <v/>
      </c>
      <c r="M28" s="11" t="str">
        <f aca="false">IF(A28="","",IF(H28="","Уточняйте",IF(L28&lt;0,"Истёк",IF(L28&lt;=30,"Скоро дедлайн","Открыто"))))</f>
        <v/>
      </c>
      <c r="N28" s="8"/>
      <c r="O28" s="8"/>
      <c r="P28" s="8"/>
      <c r="Q28" s="8"/>
      <c r="R28" s="8"/>
      <c r="S28" s="8"/>
      <c r="T28" s="8"/>
      <c r="U28" s="8"/>
      <c r="V28" s="8"/>
      <c r="W28" s="8"/>
      <c r="X28" s="8"/>
      <c r="Y28" s="8"/>
      <c r="Z28" s="8"/>
      <c r="AA28" s="8"/>
      <c r="AB28" s="8"/>
      <c r="AC28" s="8"/>
      <c r="AD28" s="8"/>
      <c r="AE28" s="8"/>
      <c r="AF28" s="8"/>
      <c r="AG28" s="8"/>
    </row>
    <row r="29" customFormat="false" ht="15" hidden="false" customHeight="true" outlineLevel="0" collapsed="false">
      <c r="A29" s="8"/>
      <c r="B29" s="8"/>
      <c r="C29" s="8"/>
      <c r="D29" s="8"/>
      <c r="E29" s="8"/>
      <c r="F29" s="8"/>
      <c r="G29" s="8"/>
      <c r="H29" s="9"/>
      <c r="I29" s="8"/>
      <c r="J29" s="8"/>
      <c r="K29" s="9"/>
      <c r="L29" s="10" t="str">
        <f aca="true">IF(OR(A29="",H29=""),"",H29-TODAY())</f>
        <v/>
      </c>
      <c r="M29" s="11" t="str">
        <f aca="false">IF(A29="","",IF(H29="","Уточняйте",IF(L29&lt;0,"Истёк",IF(L29&lt;=30,"Скоро дедлайн","Открыто"))))</f>
        <v/>
      </c>
      <c r="N29" s="8"/>
      <c r="O29" s="8"/>
      <c r="P29" s="8"/>
      <c r="Q29" s="8"/>
      <c r="R29" s="8"/>
      <c r="S29" s="8"/>
      <c r="T29" s="8"/>
      <c r="U29" s="8"/>
      <c r="V29" s="8"/>
      <c r="W29" s="8"/>
      <c r="X29" s="8"/>
      <c r="Y29" s="8"/>
      <c r="Z29" s="8"/>
      <c r="AA29" s="8"/>
      <c r="AB29" s="8"/>
      <c r="AC29" s="8"/>
      <c r="AD29" s="8"/>
      <c r="AE29" s="8"/>
      <c r="AF29" s="8"/>
      <c r="AG29" s="8"/>
    </row>
    <row r="30" customFormat="false" ht="15" hidden="false" customHeight="true" outlineLevel="0" collapsed="false">
      <c r="A30" s="8"/>
      <c r="B30" s="8"/>
      <c r="C30" s="8"/>
      <c r="D30" s="8"/>
      <c r="E30" s="8"/>
      <c r="F30" s="8"/>
      <c r="G30" s="8"/>
      <c r="H30" s="9"/>
      <c r="I30" s="8"/>
      <c r="J30" s="8"/>
      <c r="K30" s="9"/>
      <c r="L30" s="10" t="str">
        <f aca="true">IF(OR(A30="",H30=""),"",H30-TODAY())</f>
        <v/>
      </c>
      <c r="M30" s="11" t="str">
        <f aca="false">IF(A30="","",IF(H30="","Уточняйте",IF(L30&lt;0,"Истёк",IF(L30&lt;=30,"Скоро дедлайн","Открыто"))))</f>
        <v/>
      </c>
      <c r="N30" s="8"/>
      <c r="O30" s="8"/>
      <c r="P30" s="8"/>
      <c r="Q30" s="8"/>
      <c r="R30" s="8"/>
      <c r="S30" s="8"/>
      <c r="T30" s="8"/>
      <c r="U30" s="8"/>
      <c r="V30" s="8"/>
      <c r="W30" s="8"/>
      <c r="X30" s="8"/>
      <c r="Y30" s="8"/>
      <c r="Z30" s="8"/>
      <c r="AA30" s="8"/>
      <c r="AB30" s="8"/>
      <c r="AC30" s="8"/>
      <c r="AD30" s="8"/>
      <c r="AE30" s="8"/>
      <c r="AF30" s="8"/>
      <c r="AG30" s="8"/>
    </row>
    <row r="31" customFormat="false" ht="15" hidden="false" customHeight="true" outlineLevel="0" collapsed="false">
      <c r="A31" s="8"/>
      <c r="B31" s="8"/>
      <c r="C31" s="8"/>
      <c r="D31" s="8"/>
      <c r="E31" s="8"/>
      <c r="F31" s="8"/>
      <c r="G31" s="8"/>
      <c r="H31" s="9"/>
      <c r="I31" s="8"/>
      <c r="J31" s="8"/>
      <c r="K31" s="9"/>
      <c r="L31" s="10" t="str">
        <f aca="true">IF(OR(A31="",H31=""),"",H31-TODAY())</f>
        <v/>
      </c>
      <c r="M31" s="11" t="str">
        <f aca="false">IF(A31="","",IF(H31="","Уточняйте",IF(L31&lt;0,"Истёк",IF(L31&lt;=30,"Скоро дедлайн","Открыто"))))</f>
        <v/>
      </c>
      <c r="N31" s="8"/>
      <c r="O31" s="8"/>
      <c r="P31" s="8"/>
      <c r="Q31" s="8"/>
      <c r="R31" s="8"/>
      <c r="S31" s="8"/>
      <c r="T31" s="8"/>
      <c r="U31" s="8"/>
      <c r="V31" s="8"/>
      <c r="W31" s="8"/>
      <c r="X31" s="8"/>
      <c r="Y31" s="8"/>
      <c r="Z31" s="8"/>
      <c r="AA31" s="8"/>
      <c r="AB31" s="8"/>
      <c r="AC31" s="8"/>
      <c r="AD31" s="8"/>
      <c r="AE31" s="8"/>
      <c r="AF31" s="8"/>
      <c r="AG31" s="8"/>
    </row>
    <row r="32" customFormat="false" ht="15" hidden="false" customHeight="true" outlineLevel="0" collapsed="false">
      <c r="A32" s="8"/>
      <c r="B32" s="8"/>
      <c r="C32" s="8"/>
      <c r="D32" s="8"/>
      <c r="E32" s="8"/>
      <c r="F32" s="8"/>
      <c r="G32" s="8"/>
      <c r="H32" s="9"/>
      <c r="I32" s="8"/>
      <c r="J32" s="8"/>
      <c r="K32" s="9"/>
      <c r="L32" s="10" t="str">
        <f aca="true">IF(OR(A32="",H32=""),"",H32-TODAY())</f>
        <v/>
      </c>
      <c r="M32" s="11" t="str">
        <f aca="false">IF(A32="","",IF(H32="","Уточняйте",IF(L32&lt;0,"Истёк",IF(L32&lt;=30,"Скоро дедлайн","Открыто"))))</f>
        <v/>
      </c>
      <c r="N32" s="8"/>
      <c r="O32" s="8"/>
      <c r="P32" s="8"/>
      <c r="Q32" s="8"/>
      <c r="R32" s="8"/>
      <c r="S32" s="8"/>
      <c r="T32" s="8"/>
      <c r="U32" s="8"/>
      <c r="V32" s="8"/>
      <c r="W32" s="8"/>
      <c r="X32" s="8"/>
      <c r="Y32" s="8"/>
      <c r="Z32" s="8"/>
      <c r="AA32" s="8"/>
      <c r="AB32" s="8"/>
      <c r="AC32" s="8"/>
      <c r="AD32" s="8"/>
      <c r="AE32" s="8"/>
      <c r="AF32" s="8"/>
      <c r="AG32" s="8"/>
    </row>
    <row r="33" customFormat="false" ht="15" hidden="false" customHeight="true" outlineLevel="0" collapsed="false">
      <c r="A33" s="8"/>
      <c r="B33" s="8"/>
      <c r="C33" s="8"/>
      <c r="D33" s="8"/>
      <c r="E33" s="8"/>
      <c r="F33" s="8"/>
      <c r="G33" s="8"/>
      <c r="H33" s="9"/>
      <c r="I33" s="8"/>
      <c r="J33" s="8"/>
      <c r="K33" s="9"/>
      <c r="L33" s="10" t="str">
        <f aca="true">IF(OR(A33="",H33=""),"",H33-TODAY())</f>
        <v/>
      </c>
      <c r="M33" s="11" t="str">
        <f aca="false">IF(A33="","",IF(H33="","Уточняйте",IF(L33&lt;0,"Истёк",IF(L33&lt;=30,"Скоро дедлайн","Открыто"))))</f>
        <v/>
      </c>
      <c r="N33" s="8"/>
      <c r="O33" s="8"/>
      <c r="P33" s="8"/>
      <c r="Q33" s="8"/>
      <c r="R33" s="8"/>
      <c r="S33" s="8"/>
      <c r="T33" s="8"/>
      <c r="U33" s="8"/>
      <c r="V33" s="8"/>
      <c r="W33" s="8"/>
      <c r="X33" s="8"/>
      <c r="Y33" s="8"/>
      <c r="Z33" s="8"/>
      <c r="AA33" s="8"/>
      <c r="AB33" s="8"/>
      <c r="AC33" s="8"/>
      <c r="AD33" s="8"/>
      <c r="AE33" s="8"/>
      <c r="AF33" s="8"/>
      <c r="AG33" s="8"/>
    </row>
    <row r="34" customFormat="false" ht="15" hidden="false" customHeight="true" outlineLevel="0" collapsed="false">
      <c r="A34" s="8"/>
      <c r="B34" s="8"/>
      <c r="C34" s="8"/>
      <c r="D34" s="8"/>
      <c r="E34" s="8"/>
      <c r="F34" s="8"/>
      <c r="G34" s="8"/>
      <c r="H34" s="9"/>
      <c r="I34" s="8"/>
      <c r="J34" s="8"/>
      <c r="K34" s="9"/>
      <c r="L34" s="10" t="str">
        <f aca="true">IF(OR(A34="",H34=""),"",H34-TODAY())</f>
        <v/>
      </c>
      <c r="M34" s="11" t="str">
        <f aca="false">IF(A34="","",IF(H34="","Уточняйте",IF(L34&lt;0,"Истёк",IF(L34&lt;=30,"Скоро дедлайн","Открыто"))))</f>
        <v/>
      </c>
      <c r="N34" s="8"/>
      <c r="O34" s="8"/>
      <c r="P34" s="8"/>
      <c r="Q34" s="8"/>
      <c r="R34" s="8"/>
      <c r="S34" s="8"/>
      <c r="T34" s="8"/>
      <c r="U34" s="8"/>
      <c r="V34" s="8"/>
      <c r="W34" s="8"/>
      <c r="X34" s="8"/>
      <c r="Y34" s="8"/>
      <c r="Z34" s="8"/>
      <c r="AA34" s="8"/>
      <c r="AB34" s="8"/>
      <c r="AC34" s="8"/>
      <c r="AD34" s="8"/>
      <c r="AE34" s="8"/>
      <c r="AF34" s="8"/>
      <c r="AG34" s="8"/>
    </row>
    <row r="35" customFormat="false" ht="15" hidden="false" customHeight="true" outlineLevel="0" collapsed="false">
      <c r="A35" s="8"/>
      <c r="B35" s="8"/>
      <c r="C35" s="8"/>
      <c r="D35" s="8"/>
      <c r="E35" s="8"/>
      <c r="F35" s="8"/>
      <c r="G35" s="8"/>
      <c r="H35" s="9"/>
      <c r="I35" s="8"/>
      <c r="J35" s="8"/>
      <c r="K35" s="9"/>
      <c r="L35" s="10" t="str">
        <f aca="true">IF(OR(A35="",H35=""),"",H35-TODAY())</f>
        <v/>
      </c>
      <c r="M35" s="11" t="str">
        <f aca="false">IF(A35="","",IF(H35="","Уточняйте",IF(L35&lt;0,"Истёк",IF(L35&lt;=30,"Скоро дедлайн","Открыто"))))</f>
        <v/>
      </c>
      <c r="N35" s="8"/>
      <c r="O35" s="8"/>
      <c r="P35" s="8"/>
      <c r="Q35" s="8"/>
      <c r="R35" s="8"/>
      <c r="S35" s="8"/>
      <c r="T35" s="8"/>
      <c r="U35" s="8"/>
      <c r="V35" s="8"/>
      <c r="W35" s="8"/>
      <c r="X35" s="8"/>
      <c r="Y35" s="8"/>
      <c r="Z35" s="8"/>
      <c r="AA35" s="8"/>
      <c r="AB35" s="8"/>
      <c r="AC35" s="8"/>
      <c r="AD35" s="8"/>
      <c r="AE35" s="8"/>
      <c r="AF35" s="8"/>
      <c r="AG35" s="8"/>
    </row>
    <row r="36" customFormat="false" ht="15" hidden="false" customHeight="true" outlineLevel="0" collapsed="false">
      <c r="A36" s="8"/>
      <c r="B36" s="8"/>
      <c r="C36" s="8"/>
      <c r="D36" s="8"/>
      <c r="E36" s="8"/>
      <c r="F36" s="8"/>
      <c r="G36" s="8"/>
      <c r="H36" s="9"/>
      <c r="I36" s="8"/>
      <c r="J36" s="8"/>
      <c r="K36" s="9"/>
      <c r="L36" s="10" t="str">
        <f aca="true">IF(OR(A36="",H36=""),"",H36-TODAY())</f>
        <v/>
      </c>
      <c r="M36" s="11" t="str">
        <f aca="false">IF(A36="","",IF(H36="","Уточняйте",IF(L36&lt;0,"Истёк",IF(L36&lt;=30,"Скоро дедлайн","Открыто"))))</f>
        <v/>
      </c>
      <c r="N36" s="8"/>
      <c r="O36" s="8"/>
      <c r="P36" s="8"/>
      <c r="Q36" s="8"/>
      <c r="R36" s="8"/>
      <c r="S36" s="8"/>
      <c r="T36" s="8"/>
      <c r="U36" s="8"/>
      <c r="V36" s="8"/>
      <c r="W36" s="8"/>
      <c r="X36" s="8"/>
      <c r="Y36" s="8"/>
      <c r="Z36" s="8"/>
      <c r="AA36" s="8"/>
      <c r="AB36" s="8"/>
      <c r="AC36" s="8"/>
      <c r="AD36" s="8"/>
      <c r="AE36" s="8"/>
      <c r="AF36" s="8"/>
      <c r="AG36" s="8"/>
    </row>
    <row r="37" customFormat="false" ht="15" hidden="false" customHeight="true" outlineLevel="0" collapsed="false">
      <c r="A37" s="8"/>
      <c r="B37" s="8"/>
      <c r="C37" s="8"/>
      <c r="D37" s="8"/>
      <c r="E37" s="8"/>
      <c r="F37" s="8"/>
      <c r="G37" s="8"/>
      <c r="H37" s="9"/>
      <c r="I37" s="8"/>
      <c r="J37" s="8"/>
      <c r="K37" s="9"/>
      <c r="L37" s="10" t="str">
        <f aca="true">IF(OR(A37="",H37=""),"",H37-TODAY())</f>
        <v/>
      </c>
      <c r="M37" s="11" t="str">
        <f aca="false">IF(A37="","",IF(H37="","Уточняйте",IF(L37&lt;0,"Истёк",IF(L37&lt;=30,"Скоро дедлайн","Открыто"))))</f>
        <v/>
      </c>
      <c r="N37" s="8"/>
      <c r="O37" s="8"/>
      <c r="P37" s="8"/>
      <c r="Q37" s="8"/>
      <c r="R37" s="8"/>
      <c r="S37" s="8"/>
      <c r="T37" s="8"/>
      <c r="U37" s="8"/>
      <c r="V37" s="8"/>
      <c r="W37" s="8"/>
      <c r="X37" s="8"/>
      <c r="Y37" s="8"/>
      <c r="Z37" s="8"/>
      <c r="AA37" s="8"/>
      <c r="AB37" s="8"/>
      <c r="AC37" s="8"/>
      <c r="AD37" s="8"/>
      <c r="AE37" s="8"/>
      <c r="AF37" s="8"/>
      <c r="AG37" s="8"/>
    </row>
    <row r="38" customFormat="false" ht="15" hidden="false" customHeight="true" outlineLevel="0" collapsed="false">
      <c r="A38" s="8"/>
      <c r="B38" s="8"/>
      <c r="C38" s="8"/>
      <c r="D38" s="8"/>
      <c r="E38" s="8"/>
      <c r="F38" s="8"/>
      <c r="G38" s="8"/>
      <c r="H38" s="9"/>
      <c r="I38" s="8"/>
      <c r="J38" s="8"/>
      <c r="K38" s="9"/>
      <c r="L38" s="10" t="str">
        <f aca="true">IF(OR(A38="",H38=""),"",H38-TODAY())</f>
        <v/>
      </c>
      <c r="M38" s="11" t="str">
        <f aca="false">IF(A38="","",IF(H38="","Уточняйте",IF(L38&lt;0,"Истёк",IF(L38&lt;=30,"Скоро дедлайн","Открыто"))))</f>
        <v/>
      </c>
      <c r="N38" s="8"/>
      <c r="O38" s="8"/>
      <c r="P38" s="8"/>
      <c r="Q38" s="8"/>
      <c r="R38" s="8"/>
      <c r="S38" s="8"/>
      <c r="T38" s="8"/>
      <c r="U38" s="8"/>
      <c r="V38" s="8"/>
      <c r="W38" s="8"/>
      <c r="X38" s="8"/>
      <c r="Y38" s="8"/>
      <c r="Z38" s="8"/>
      <c r="AA38" s="8"/>
      <c r="AB38" s="8"/>
      <c r="AC38" s="8"/>
      <c r="AD38" s="8"/>
      <c r="AE38" s="8"/>
      <c r="AF38" s="8"/>
      <c r="AG38" s="8"/>
    </row>
    <row r="39" customFormat="false" ht="15" hidden="false" customHeight="true" outlineLevel="0" collapsed="false">
      <c r="A39" s="8"/>
      <c r="B39" s="8"/>
      <c r="C39" s="8"/>
      <c r="D39" s="8"/>
      <c r="E39" s="8"/>
      <c r="F39" s="8"/>
      <c r="G39" s="8"/>
      <c r="H39" s="9"/>
      <c r="I39" s="8"/>
      <c r="J39" s="8"/>
      <c r="K39" s="9"/>
      <c r="L39" s="10" t="str">
        <f aca="true">IF(OR(A39="",H39=""),"",H39-TODAY())</f>
        <v/>
      </c>
      <c r="M39" s="11" t="str">
        <f aca="false">IF(A39="","",IF(H39="","Уточняйте",IF(L39&lt;0,"Истёк",IF(L39&lt;=30,"Скоро дедлайн","Открыто"))))</f>
        <v/>
      </c>
      <c r="N39" s="8"/>
      <c r="O39" s="8"/>
      <c r="P39" s="8"/>
      <c r="Q39" s="8"/>
      <c r="R39" s="8"/>
      <c r="S39" s="8"/>
      <c r="T39" s="8"/>
      <c r="U39" s="8"/>
      <c r="V39" s="8"/>
      <c r="W39" s="8"/>
      <c r="X39" s="8"/>
      <c r="Y39" s="8"/>
      <c r="Z39" s="8"/>
      <c r="AA39" s="8"/>
      <c r="AB39" s="8"/>
      <c r="AC39" s="8"/>
      <c r="AD39" s="8"/>
      <c r="AE39" s="8"/>
      <c r="AF39" s="8"/>
      <c r="AG39" s="8"/>
    </row>
    <row r="40" customFormat="false" ht="15" hidden="false" customHeight="true" outlineLevel="0" collapsed="false">
      <c r="A40" s="8"/>
      <c r="B40" s="8"/>
      <c r="C40" s="8"/>
      <c r="D40" s="8"/>
      <c r="E40" s="8"/>
      <c r="F40" s="8"/>
      <c r="G40" s="8"/>
      <c r="H40" s="9"/>
      <c r="I40" s="8"/>
      <c r="J40" s="8"/>
      <c r="K40" s="9"/>
      <c r="L40" s="10" t="str">
        <f aca="true">IF(OR(A40="",H40=""),"",H40-TODAY())</f>
        <v/>
      </c>
      <c r="M40" s="11" t="str">
        <f aca="false">IF(A40="","",IF(H40="","Уточняйте",IF(L40&lt;0,"Истёк",IF(L40&lt;=30,"Скоро дедлайн","Открыто"))))</f>
        <v/>
      </c>
      <c r="N40" s="8"/>
      <c r="O40" s="8"/>
      <c r="P40" s="8"/>
      <c r="Q40" s="8"/>
      <c r="R40" s="8"/>
      <c r="S40" s="8"/>
      <c r="T40" s="8"/>
      <c r="U40" s="8"/>
      <c r="V40" s="8"/>
      <c r="W40" s="8"/>
      <c r="X40" s="8"/>
      <c r="Y40" s="8"/>
      <c r="Z40" s="8"/>
      <c r="AA40" s="8"/>
      <c r="AB40" s="8"/>
      <c r="AC40" s="8"/>
      <c r="AD40" s="8"/>
      <c r="AE40" s="8"/>
      <c r="AF40" s="8"/>
      <c r="AG40" s="8"/>
    </row>
    <row r="41" customFormat="false" ht="15" hidden="false" customHeight="true" outlineLevel="0" collapsed="false">
      <c r="A41" s="8"/>
      <c r="B41" s="8"/>
      <c r="C41" s="8"/>
      <c r="D41" s="8"/>
      <c r="E41" s="8"/>
      <c r="F41" s="8"/>
      <c r="G41" s="8"/>
      <c r="H41" s="9"/>
      <c r="I41" s="8"/>
      <c r="J41" s="8"/>
      <c r="K41" s="9"/>
      <c r="L41" s="10" t="str">
        <f aca="true">IF(OR(A41="",H41=""),"",H41-TODAY())</f>
        <v/>
      </c>
      <c r="M41" s="11" t="str">
        <f aca="false">IF(A41="","",IF(H41="","Уточняйте",IF(L41&lt;0,"Истёк",IF(L41&lt;=30,"Скоро дедлайн","Открыто"))))</f>
        <v/>
      </c>
      <c r="N41" s="8"/>
      <c r="O41" s="8"/>
      <c r="P41" s="8"/>
      <c r="Q41" s="8"/>
      <c r="R41" s="8"/>
      <c r="S41" s="8"/>
      <c r="T41" s="8"/>
      <c r="U41" s="8"/>
      <c r="V41" s="8"/>
      <c r="W41" s="8"/>
      <c r="X41" s="8"/>
      <c r="Y41" s="8"/>
      <c r="Z41" s="8"/>
      <c r="AA41" s="8"/>
      <c r="AB41" s="8"/>
      <c r="AC41" s="8"/>
      <c r="AD41" s="8"/>
      <c r="AE41" s="8"/>
      <c r="AF41" s="8"/>
      <c r="AG41" s="8"/>
    </row>
    <row r="42" customFormat="false" ht="15" hidden="false" customHeight="true" outlineLevel="0" collapsed="false">
      <c r="A42" s="8"/>
      <c r="B42" s="8"/>
      <c r="C42" s="8"/>
      <c r="D42" s="8"/>
      <c r="E42" s="8"/>
      <c r="F42" s="8"/>
      <c r="G42" s="8"/>
      <c r="H42" s="9"/>
      <c r="I42" s="8"/>
      <c r="J42" s="8"/>
      <c r="K42" s="9"/>
      <c r="L42" s="10" t="str">
        <f aca="true">IF(OR(A42="",H42=""),"",H42-TODAY())</f>
        <v/>
      </c>
      <c r="M42" s="11" t="str">
        <f aca="false">IF(A42="","",IF(H42="","Уточняйте",IF(L42&lt;0,"Истёк",IF(L42&lt;=30,"Скоро дедлайн","Открыто"))))</f>
        <v/>
      </c>
      <c r="N42" s="8"/>
      <c r="O42" s="8"/>
      <c r="P42" s="8"/>
      <c r="Q42" s="8"/>
      <c r="R42" s="8"/>
      <c r="S42" s="8"/>
      <c r="T42" s="8"/>
      <c r="U42" s="8"/>
      <c r="V42" s="8"/>
      <c r="W42" s="8"/>
      <c r="X42" s="8"/>
      <c r="Y42" s="8"/>
      <c r="Z42" s="8"/>
      <c r="AA42" s="8"/>
      <c r="AB42" s="8"/>
      <c r="AC42" s="8"/>
      <c r="AD42" s="8"/>
      <c r="AE42" s="8"/>
      <c r="AF42" s="8"/>
      <c r="AG42" s="8"/>
    </row>
    <row r="43" customFormat="false" ht="15" hidden="false" customHeight="true" outlineLevel="0" collapsed="false">
      <c r="A43" s="8"/>
      <c r="B43" s="8"/>
      <c r="C43" s="8"/>
      <c r="D43" s="8"/>
      <c r="E43" s="8"/>
      <c r="F43" s="8"/>
      <c r="G43" s="8"/>
      <c r="H43" s="9"/>
      <c r="I43" s="8"/>
      <c r="J43" s="8"/>
      <c r="K43" s="9"/>
      <c r="L43" s="10" t="str">
        <f aca="true">IF(OR(A43="",H43=""),"",H43-TODAY())</f>
        <v/>
      </c>
      <c r="M43" s="11" t="str">
        <f aca="false">IF(A43="","",IF(H43="","Уточняйте",IF(L43&lt;0,"Истёк",IF(L43&lt;=30,"Скоро дедлайн","Открыто"))))</f>
        <v/>
      </c>
      <c r="N43" s="8"/>
      <c r="O43" s="8"/>
      <c r="P43" s="8"/>
      <c r="Q43" s="8"/>
      <c r="R43" s="8"/>
      <c r="S43" s="8"/>
      <c r="T43" s="8"/>
      <c r="U43" s="8"/>
      <c r="V43" s="8"/>
      <c r="W43" s="8"/>
      <c r="X43" s="8"/>
      <c r="Y43" s="8"/>
      <c r="Z43" s="8"/>
      <c r="AA43" s="8"/>
      <c r="AB43" s="8"/>
      <c r="AC43" s="8"/>
      <c r="AD43" s="8"/>
      <c r="AE43" s="8"/>
      <c r="AF43" s="8"/>
      <c r="AG43" s="8"/>
    </row>
    <row r="44" customFormat="false" ht="15" hidden="false" customHeight="true" outlineLevel="0" collapsed="false">
      <c r="A44" s="8"/>
      <c r="B44" s="8"/>
      <c r="C44" s="8"/>
      <c r="D44" s="8"/>
      <c r="E44" s="8"/>
      <c r="F44" s="8"/>
      <c r="G44" s="8"/>
      <c r="H44" s="9"/>
      <c r="I44" s="8"/>
      <c r="J44" s="8"/>
      <c r="K44" s="9"/>
      <c r="L44" s="10" t="str">
        <f aca="true">IF(OR(A44="",H44=""),"",H44-TODAY())</f>
        <v/>
      </c>
      <c r="M44" s="11" t="str">
        <f aca="false">IF(A44="","",IF(H44="","Уточняйте",IF(L44&lt;0,"Истёк",IF(L44&lt;=30,"Скоро дедлайн","Открыто"))))</f>
        <v/>
      </c>
      <c r="N44" s="8"/>
      <c r="O44" s="8"/>
      <c r="P44" s="8"/>
      <c r="Q44" s="8"/>
      <c r="R44" s="8"/>
      <c r="S44" s="8"/>
      <c r="T44" s="8"/>
      <c r="U44" s="8"/>
      <c r="V44" s="8"/>
      <c r="W44" s="8"/>
      <c r="X44" s="8"/>
      <c r="Y44" s="8"/>
      <c r="Z44" s="8"/>
      <c r="AA44" s="8"/>
      <c r="AB44" s="8"/>
      <c r="AC44" s="8"/>
      <c r="AD44" s="8"/>
      <c r="AE44" s="8"/>
      <c r="AF44" s="8"/>
      <c r="AG44" s="8"/>
    </row>
    <row r="45" customFormat="false" ht="15" hidden="false" customHeight="true" outlineLevel="0" collapsed="false">
      <c r="A45" s="8"/>
      <c r="B45" s="8"/>
      <c r="C45" s="8"/>
      <c r="D45" s="8"/>
      <c r="E45" s="8"/>
      <c r="F45" s="8"/>
      <c r="G45" s="8"/>
      <c r="H45" s="9"/>
      <c r="I45" s="8"/>
      <c r="J45" s="8"/>
      <c r="K45" s="9"/>
      <c r="L45" s="10" t="str">
        <f aca="true">IF(OR(A45="",H45=""),"",H45-TODAY())</f>
        <v/>
      </c>
      <c r="M45" s="11" t="str">
        <f aca="false">IF(A45="","",IF(H45="","Уточняйте",IF(L45&lt;0,"Истёк",IF(L45&lt;=30,"Скоро дедлайн","Открыто"))))</f>
        <v/>
      </c>
      <c r="N45" s="8"/>
      <c r="O45" s="8"/>
      <c r="P45" s="8"/>
      <c r="Q45" s="8"/>
      <c r="R45" s="8"/>
      <c r="S45" s="8"/>
      <c r="T45" s="8"/>
      <c r="U45" s="8"/>
      <c r="V45" s="8"/>
      <c r="W45" s="8"/>
      <c r="X45" s="8"/>
      <c r="Y45" s="8"/>
      <c r="Z45" s="8"/>
      <c r="AA45" s="8"/>
      <c r="AB45" s="8"/>
      <c r="AC45" s="8"/>
      <c r="AD45" s="8"/>
      <c r="AE45" s="8"/>
      <c r="AF45" s="8"/>
      <c r="AG45" s="8"/>
    </row>
    <row r="46" customFormat="false" ht="15" hidden="false" customHeight="true" outlineLevel="0" collapsed="false">
      <c r="A46" s="8"/>
      <c r="B46" s="8"/>
      <c r="C46" s="8"/>
      <c r="D46" s="8"/>
      <c r="E46" s="8"/>
      <c r="F46" s="8"/>
      <c r="G46" s="8"/>
      <c r="H46" s="9"/>
      <c r="I46" s="8"/>
      <c r="J46" s="8"/>
      <c r="K46" s="9"/>
      <c r="L46" s="10" t="str">
        <f aca="true">IF(OR(A46="",H46=""),"",H46-TODAY())</f>
        <v/>
      </c>
      <c r="M46" s="11" t="str">
        <f aca="false">IF(A46="","",IF(H46="","Уточняйте",IF(L46&lt;0,"Истёк",IF(L46&lt;=30,"Скоро дедлайн","Открыто"))))</f>
        <v/>
      </c>
      <c r="N46" s="8"/>
      <c r="O46" s="8"/>
      <c r="P46" s="8"/>
      <c r="Q46" s="8"/>
      <c r="R46" s="8"/>
      <c r="S46" s="8"/>
      <c r="T46" s="8"/>
      <c r="U46" s="8"/>
      <c r="V46" s="8"/>
      <c r="W46" s="8"/>
      <c r="X46" s="8"/>
      <c r="Y46" s="8"/>
      <c r="Z46" s="8"/>
      <c r="AA46" s="8"/>
      <c r="AB46" s="8"/>
      <c r="AC46" s="8"/>
      <c r="AD46" s="8"/>
      <c r="AE46" s="8"/>
      <c r="AF46" s="8"/>
      <c r="AG46" s="8"/>
    </row>
    <row r="47" customFormat="false" ht="15" hidden="false" customHeight="true" outlineLevel="0" collapsed="false">
      <c r="A47" s="8"/>
      <c r="B47" s="8"/>
      <c r="C47" s="8"/>
      <c r="D47" s="8"/>
      <c r="E47" s="8"/>
      <c r="F47" s="8"/>
      <c r="G47" s="8"/>
      <c r="H47" s="9"/>
      <c r="I47" s="8"/>
      <c r="J47" s="8"/>
      <c r="K47" s="9"/>
      <c r="L47" s="10" t="str">
        <f aca="true">IF(OR(A47="",H47=""),"",H47-TODAY())</f>
        <v/>
      </c>
      <c r="M47" s="11" t="str">
        <f aca="false">IF(A47="","",IF(H47="","Уточняйте",IF(L47&lt;0,"Истёк",IF(L47&lt;=30,"Скоро дедлайн","Открыто"))))</f>
        <v/>
      </c>
      <c r="N47" s="8"/>
      <c r="O47" s="8"/>
      <c r="P47" s="8"/>
      <c r="Q47" s="8"/>
      <c r="R47" s="8"/>
      <c r="S47" s="8"/>
      <c r="T47" s="8"/>
      <c r="U47" s="8"/>
      <c r="V47" s="8"/>
      <c r="W47" s="8"/>
      <c r="X47" s="8"/>
      <c r="Y47" s="8"/>
      <c r="Z47" s="8"/>
      <c r="AA47" s="8"/>
      <c r="AB47" s="8"/>
      <c r="AC47" s="8"/>
      <c r="AD47" s="8"/>
      <c r="AE47" s="8"/>
      <c r="AF47" s="8"/>
      <c r="AG47" s="8"/>
    </row>
    <row r="48" customFormat="false" ht="15" hidden="false" customHeight="true" outlineLevel="0" collapsed="false">
      <c r="A48" s="8"/>
      <c r="B48" s="8"/>
      <c r="C48" s="8"/>
      <c r="D48" s="8"/>
      <c r="E48" s="8"/>
      <c r="F48" s="8"/>
      <c r="G48" s="8"/>
      <c r="H48" s="9"/>
      <c r="I48" s="8"/>
      <c r="J48" s="8"/>
      <c r="K48" s="9"/>
      <c r="L48" s="10" t="str">
        <f aca="true">IF(OR(A48="",H48=""),"",H48-TODAY())</f>
        <v/>
      </c>
      <c r="M48" s="11" t="str">
        <f aca="false">IF(A48="","",IF(H48="","Уточняйте",IF(L48&lt;0,"Истёк",IF(L48&lt;=30,"Скоро дедлайн","Открыто"))))</f>
        <v/>
      </c>
      <c r="N48" s="8"/>
      <c r="O48" s="8"/>
      <c r="P48" s="8"/>
      <c r="Q48" s="8"/>
      <c r="R48" s="8"/>
      <c r="S48" s="8"/>
      <c r="T48" s="8"/>
      <c r="U48" s="8"/>
      <c r="V48" s="8"/>
      <c r="W48" s="8"/>
      <c r="X48" s="8"/>
      <c r="Y48" s="8"/>
      <c r="Z48" s="8"/>
      <c r="AA48" s="8"/>
      <c r="AB48" s="8"/>
      <c r="AC48" s="8"/>
      <c r="AD48" s="8"/>
      <c r="AE48" s="8"/>
      <c r="AF48" s="8"/>
      <c r="AG48" s="8"/>
    </row>
    <row r="49" customFormat="false" ht="15" hidden="false" customHeight="true" outlineLevel="0" collapsed="false">
      <c r="A49" s="8"/>
      <c r="B49" s="8"/>
      <c r="C49" s="8"/>
      <c r="D49" s="8"/>
      <c r="E49" s="8"/>
      <c r="F49" s="8"/>
      <c r="G49" s="8"/>
      <c r="H49" s="9"/>
      <c r="I49" s="8"/>
      <c r="J49" s="8"/>
      <c r="K49" s="9"/>
      <c r="L49" s="10" t="str">
        <f aca="true">IF(OR(A49="",H49=""),"",H49-TODAY())</f>
        <v/>
      </c>
      <c r="M49" s="11" t="str">
        <f aca="false">IF(A49="","",IF(H49="","Уточняйте",IF(L49&lt;0,"Истёк",IF(L49&lt;=30,"Скоро дедлайн","Открыто"))))</f>
        <v/>
      </c>
      <c r="N49" s="8"/>
      <c r="O49" s="8"/>
      <c r="P49" s="8"/>
      <c r="Q49" s="8"/>
      <c r="R49" s="8"/>
      <c r="S49" s="8"/>
      <c r="T49" s="8"/>
      <c r="U49" s="8"/>
      <c r="V49" s="8"/>
      <c r="W49" s="8"/>
      <c r="X49" s="8"/>
      <c r="Y49" s="8"/>
      <c r="Z49" s="8"/>
      <c r="AA49" s="8"/>
      <c r="AB49" s="8"/>
      <c r="AC49" s="8"/>
      <c r="AD49" s="8"/>
      <c r="AE49" s="8"/>
      <c r="AF49" s="8"/>
      <c r="AG49" s="8"/>
    </row>
    <row r="50" customFormat="false" ht="15" hidden="false" customHeight="true" outlineLevel="0" collapsed="false">
      <c r="A50" s="8"/>
      <c r="B50" s="8"/>
      <c r="C50" s="8"/>
      <c r="D50" s="8"/>
      <c r="E50" s="8"/>
      <c r="F50" s="8"/>
      <c r="G50" s="8"/>
      <c r="H50" s="9"/>
      <c r="I50" s="8"/>
      <c r="J50" s="8"/>
      <c r="K50" s="9"/>
      <c r="L50" s="10" t="str">
        <f aca="true">IF(OR(A50="",H50=""),"",H50-TODAY())</f>
        <v/>
      </c>
      <c r="M50" s="11" t="str">
        <f aca="false">IF(A50="","",IF(H50="","Уточняйте",IF(L50&lt;0,"Истёк",IF(L50&lt;=30,"Скоро дедлайн","Открыто"))))</f>
        <v/>
      </c>
      <c r="N50" s="8"/>
      <c r="O50" s="8"/>
      <c r="P50" s="8"/>
      <c r="Q50" s="8"/>
      <c r="R50" s="8"/>
      <c r="S50" s="8"/>
      <c r="T50" s="8"/>
      <c r="U50" s="8"/>
      <c r="V50" s="8"/>
      <c r="W50" s="8"/>
      <c r="X50" s="8"/>
      <c r="Y50" s="8"/>
      <c r="Z50" s="8"/>
      <c r="AA50" s="8"/>
      <c r="AB50" s="8"/>
      <c r="AC50" s="8"/>
      <c r="AD50" s="8"/>
      <c r="AE50" s="8"/>
      <c r="AF50" s="8"/>
      <c r="AG50" s="8"/>
    </row>
    <row r="51" customFormat="false" ht="15" hidden="false" customHeight="true" outlineLevel="0" collapsed="false">
      <c r="A51" s="8"/>
      <c r="B51" s="8"/>
      <c r="C51" s="8"/>
      <c r="D51" s="8"/>
      <c r="E51" s="8"/>
      <c r="F51" s="8"/>
      <c r="G51" s="8"/>
      <c r="H51" s="9"/>
      <c r="I51" s="8"/>
      <c r="J51" s="8"/>
      <c r="K51" s="9"/>
      <c r="L51" s="10" t="str">
        <f aca="true">IF(OR(A51="",H51=""),"",H51-TODAY())</f>
        <v/>
      </c>
      <c r="M51" s="11" t="str">
        <f aca="false">IF(A51="","",IF(H51="","Уточняйте",IF(L51&lt;0,"Истёк",IF(L51&lt;=30,"Скоро дедлайн","Открыто"))))</f>
        <v/>
      </c>
      <c r="N51" s="8"/>
      <c r="O51" s="8"/>
      <c r="P51" s="8"/>
      <c r="Q51" s="8"/>
      <c r="R51" s="8"/>
      <c r="S51" s="8"/>
      <c r="T51" s="8"/>
      <c r="U51" s="8"/>
      <c r="V51" s="8"/>
      <c r="W51" s="8"/>
      <c r="X51" s="8"/>
      <c r="Y51" s="8"/>
      <c r="Z51" s="8"/>
      <c r="AA51" s="8"/>
      <c r="AB51" s="8"/>
      <c r="AC51" s="8"/>
      <c r="AD51" s="8"/>
      <c r="AE51" s="8"/>
      <c r="AF51" s="8"/>
      <c r="AG51" s="8"/>
    </row>
  </sheetData>
  <autoFilter ref="A1:N51"/>
  <conditionalFormatting sqref="M2:M51">
    <cfRule type="expression" priority="2" aboveAverage="0" equalAverage="0" bottom="0" percent="0" rank="0" text="" dxfId="4">
      <formula>M2="Скоро дедлайн"</formula>
    </cfRule>
    <cfRule type="expression" priority="3" aboveAverage="0" equalAverage="0" bottom="0" percent="0" rank="0" text="" dxfId="5">
      <formula>M2="Истёк"</formula>
    </cfRule>
  </conditionalFormatting>
  <dataValidations count="3">
    <dataValidation allowBlank="true" errorStyle="stop" operator="between" showDropDown="false" showErrorMessage="false" showInputMessage="false" sqref="C2:C51" type="list">
      <formula1>"Грант,Субсидия ставки,Гарантия,Льготный кредит,Налоговая льгота,Обучение"</formula1>
      <formula2>0</formula2>
    </dataValidation>
    <dataValidation allowBlank="true" errorStyle="stop" operator="between" showDropDown="false" showErrorMessage="false" showInputMessage="false" sqref="D2:D51" type="list">
      <formula1>"Вся РК,Алматы,Алматинская область"</formula1>
      <formula2>0</formula2>
    </dataValidation>
    <dataValidation allowBlank="true" errorStyle="stop" operator="between" showDropDown="false" showErrorMessage="false" showInputMessage="false" sqref="J2:J51" type="list">
      <formula1>"Черновик,Опубликовано,Анонс,Закрыто"</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34"/>
  </cols>
  <sheetData>
    <row r="1" customFormat="false" ht="15" hidden="false" customHeight="false" outlineLevel="0" collapsed="false">
      <c r="A1" s="12" t="s">
        <v>232</v>
      </c>
      <c r="B1" s="12" t="s">
        <v>233</v>
      </c>
      <c r="C1" s="12" t="s">
        <v>234</v>
      </c>
    </row>
    <row r="2" customFormat="false" ht="15" hidden="false" customHeight="false" outlineLevel="0" collapsed="false">
      <c r="A2" s="13" t="s">
        <v>22</v>
      </c>
      <c r="B2" s="13" t="s">
        <v>235</v>
      </c>
      <c r="C2" s="14" t="s">
        <v>236</v>
      </c>
    </row>
    <row r="3" customFormat="false" ht="15" hidden="false" customHeight="false" outlineLevel="0" collapsed="false">
      <c r="A3" s="13" t="s">
        <v>22</v>
      </c>
      <c r="B3" s="13" t="s">
        <v>56</v>
      </c>
      <c r="C3" s="14" t="s">
        <v>237</v>
      </c>
    </row>
    <row r="4" customFormat="false" ht="15" hidden="false" customHeight="false" outlineLevel="0" collapsed="false">
      <c r="A4" s="13" t="s">
        <v>22</v>
      </c>
      <c r="B4" s="13" t="s">
        <v>220</v>
      </c>
      <c r="C4" s="14" t="s">
        <v>220</v>
      </c>
    </row>
    <row r="5" customFormat="false" ht="15" hidden="false" customHeight="false" outlineLevel="0" collapsed="false">
      <c r="A5" s="13" t="s">
        <v>22</v>
      </c>
      <c r="B5" s="13" t="s">
        <v>238</v>
      </c>
      <c r="C5" s="14" t="s">
        <v>238</v>
      </c>
    </row>
    <row r="6" customFormat="false" ht="15" hidden="false" customHeight="false" outlineLevel="0" collapsed="false">
      <c r="A6" s="13" t="s">
        <v>22</v>
      </c>
      <c r="B6" s="13" t="s">
        <v>239</v>
      </c>
      <c r="C6" s="14" t="s">
        <v>239</v>
      </c>
    </row>
    <row r="7" customFormat="false" ht="15" hidden="false" customHeight="false" outlineLevel="0" collapsed="false">
      <c r="A7" s="13" t="s">
        <v>22</v>
      </c>
      <c r="B7" s="13" t="s">
        <v>240</v>
      </c>
      <c r="C7" s="14" t="s">
        <v>241</v>
      </c>
    </row>
    <row r="8" customFormat="false" ht="15" hidden="false" customHeight="false" outlineLevel="0" collapsed="false">
      <c r="A8" s="13" t="s">
        <v>22</v>
      </c>
      <c r="B8" s="13" t="s">
        <v>242</v>
      </c>
      <c r="C8" s="14" t="s">
        <v>243</v>
      </c>
    </row>
    <row r="9" customFormat="false" ht="15" hidden="false" customHeight="false" outlineLevel="0" collapsed="false">
      <c r="A9" s="13" t="s">
        <v>22</v>
      </c>
      <c r="B9" s="13" t="s">
        <v>244</v>
      </c>
      <c r="C9" s="14" t="s">
        <v>245</v>
      </c>
    </row>
    <row r="10" customFormat="false" ht="15" hidden="false" customHeight="false" outlineLevel="0" collapsed="false">
      <c r="A10" s="13" t="s">
        <v>22</v>
      </c>
      <c r="B10" s="13" t="s">
        <v>246</v>
      </c>
      <c r="C10" s="14" t="s">
        <v>247</v>
      </c>
    </row>
    <row r="11" customFormat="false" ht="15" hidden="false" customHeight="false" outlineLevel="0" collapsed="false">
      <c r="A11" s="13" t="s">
        <v>22</v>
      </c>
      <c r="B11" s="13" t="s">
        <v>248</v>
      </c>
      <c r="C11" s="14" t="s">
        <v>249</v>
      </c>
    </row>
    <row r="12" customFormat="false" ht="15" hidden="false" customHeight="false" outlineLevel="0" collapsed="false">
      <c r="A12" s="13" t="s">
        <v>22</v>
      </c>
      <c r="B12" s="13" t="s">
        <v>250</v>
      </c>
      <c r="C12" s="14" t="s">
        <v>251</v>
      </c>
    </row>
    <row r="13" customFormat="false" ht="15" hidden="false" customHeight="false" outlineLevel="0" collapsed="false">
      <c r="A13" s="13" t="s">
        <v>22</v>
      </c>
      <c r="B13" s="13" t="s">
        <v>252</v>
      </c>
      <c r="C13" s="14" t="s">
        <v>253</v>
      </c>
    </row>
    <row r="14" customFormat="false" ht="15" hidden="false" customHeight="false" outlineLevel="0" collapsed="false">
      <c r="A14" s="13" t="s">
        <v>22</v>
      </c>
      <c r="B14" s="13" t="s">
        <v>254</v>
      </c>
      <c r="C14" s="14" t="s">
        <v>255</v>
      </c>
    </row>
    <row r="15" customFormat="false" ht="15" hidden="false" customHeight="false" outlineLevel="0" collapsed="false">
      <c r="A15" s="13" t="s">
        <v>22</v>
      </c>
      <c r="B15" s="13" t="s">
        <v>256</v>
      </c>
      <c r="C15" s="14" t="s">
        <v>257</v>
      </c>
    </row>
    <row r="16" customFormat="false" ht="15" hidden="false" customHeight="false" outlineLevel="0" collapsed="false">
      <c r="A16" s="13" t="s">
        <v>22</v>
      </c>
      <c r="B16" s="13" t="s">
        <v>258</v>
      </c>
      <c r="C16" s="14" t="s">
        <v>259</v>
      </c>
    </row>
    <row r="17" customFormat="false" ht="15" hidden="false" customHeight="false" outlineLevel="0" collapsed="false">
      <c r="A17" s="13" t="s">
        <v>22</v>
      </c>
      <c r="B17" s="13" t="s">
        <v>260</v>
      </c>
      <c r="C17" s="14" t="s">
        <v>261</v>
      </c>
    </row>
    <row r="18" customFormat="false" ht="15" hidden="false" customHeight="false" outlineLevel="0" collapsed="false">
      <c r="A18" s="13" t="s">
        <v>22</v>
      </c>
      <c r="B18" s="13" t="s">
        <v>262</v>
      </c>
      <c r="C18" s="14" t="s">
        <v>263</v>
      </c>
    </row>
    <row r="19" customFormat="false" ht="15" hidden="false" customHeight="false" outlineLevel="0" collapsed="false">
      <c r="A19" s="13" t="s">
        <v>22</v>
      </c>
      <c r="B19" s="13" t="s">
        <v>264</v>
      </c>
      <c r="C19" s="14" t="s">
        <v>265</v>
      </c>
    </row>
    <row r="20" customFormat="false" ht="15" hidden="false" customHeight="false" outlineLevel="0" collapsed="false">
      <c r="A20" s="13" t="s">
        <v>22</v>
      </c>
      <c r="B20" s="13" t="s">
        <v>266</v>
      </c>
      <c r="C20" s="14" t="s">
        <v>267</v>
      </c>
    </row>
    <row r="21" customFormat="false" ht="15" hidden="false" customHeight="false" outlineLevel="0" collapsed="false">
      <c r="A21" s="13" t="s">
        <v>22</v>
      </c>
      <c r="B21" s="13" t="s">
        <v>268</v>
      </c>
      <c r="C21" s="14" t="s">
        <v>269</v>
      </c>
    </row>
    <row r="22" customFormat="false" ht="15" hidden="false" customHeight="false" outlineLevel="0" collapsed="false">
      <c r="A22" s="13" t="s">
        <v>22</v>
      </c>
      <c r="B22" s="13" t="s">
        <v>270</v>
      </c>
      <c r="C22" s="14" t="s">
        <v>271</v>
      </c>
    </row>
    <row r="23" customFormat="false" ht="15" hidden="false" customHeight="false" outlineLevel="0" collapsed="false">
      <c r="A23" s="13" t="s">
        <v>22</v>
      </c>
      <c r="B23" s="13" t="s">
        <v>272</v>
      </c>
      <c r="C23" s="14" t="s">
        <v>273</v>
      </c>
    </row>
    <row r="24" customFormat="false" ht="15" hidden="false" customHeight="false" outlineLevel="0" collapsed="false">
      <c r="A24" s="13" t="s">
        <v>23</v>
      </c>
      <c r="B24" s="13" t="s">
        <v>57</v>
      </c>
      <c r="C24" s="14" t="s">
        <v>274</v>
      </c>
    </row>
    <row r="25" customFormat="false" ht="15" hidden="false" customHeight="false" outlineLevel="0" collapsed="false">
      <c r="A25" s="13" t="s">
        <v>23</v>
      </c>
      <c r="B25" s="13" t="s">
        <v>196</v>
      </c>
      <c r="C25" s="14" t="s">
        <v>196</v>
      </c>
    </row>
    <row r="26" customFormat="false" ht="15" hidden="false" customHeight="false" outlineLevel="0" collapsed="false">
      <c r="A26" s="13" t="s">
        <v>23</v>
      </c>
      <c r="B26" s="13" t="s">
        <v>130</v>
      </c>
      <c r="C26" s="14" t="s">
        <v>275</v>
      </c>
    </row>
    <row r="27" customFormat="false" ht="15" hidden="false" customHeight="false" outlineLevel="0" collapsed="false">
      <c r="A27" s="13" t="s">
        <v>23</v>
      </c>
      <c r="B27" s="13" t="s">
        <v>174</v>
      </c>
      <c r="C27" s="14" t="s">
        <v>276</v>
      </c>
    </row>
    <row r="28" customFormat="false" ht="15" hidden="false" customHeight="false" outlineLevel="0" collapsed="false">
      <c r="A28" s="13" t="s">
        <v>23</v>
      </c>
      <c r="B28" s="13" t="s">
        <v>83</v>
      </c>
      <c r="C28" s="14" t="s">
        <v>277</v>
      </c>
    </row>
    <row r="29" customFormat="false" ht="15" hidden="false" customHeight="false" outlineLevel="0" collapsed="false">
      <c r="A29" s="13" t="s">
        <v>23</v>
      </c>
      <c r="B29" s="13" t="s">
        <v>278</v>
      </c>
      <c r="C29" s="14" t="s">
        <v>279</v>
      </c>
    </row>
    <row r="30" customFormat="false" ht="15" hidden="false" customHeight="false" outlineLevel="0" collapsed="false">
      <c r="A30" s="13" t="s">
        <v>21</v>
      </c>
      <c r="B30" s="13" t="s">
        <v>280</v>
      </c>
      <c r="C30" s="14" t="s">
        <v>281</v>
      </c>
    </row>
    <row r="31" customFormat="false" ht="15" hidden="false" customHeight="false" outlineLevel="0" collapsed="false">
      <c r="A31" s="13" t="s">
        <v>21</v>
      </c>
      <c r="B31" s="13" t="s">
        <v>55</v>
      </c>
      <c r="C31" s="14" t="s">
        <v>55</v>
      </c>
    </row>
    <row r="32" customFormat="false" ht="15" hidden="false" customHeight="false" outlineLevel="0" collapsed="false">
      <c r="A32" s="13" t="s">
        <v>21</v>
      </c>
      <c r="B32" s="13" t="s">
        <v>129</v>
      </c>
      <c r="C32" s="14" t="s">
        <v>282</v>
      </c>
    </row>
    <row r="33" customFormat="false" ht="15" hidden="false" customHeight="false" outlineLevel="0" collapsed="false">
      <c r="A33" s="13" t="s">
        <v>21</v>
      </c>
      <c r="B33" s="13" t="s">
        <v>152</v>
      </c>
      <c r="C33" s="14" t="s">
        <v>283</v>
      </c>
    </row>
    <row r="34" customFormat="false" ht="15" hidden="false" customHeight="false" outlineLevel="0" collapsed="false">
      <c r="A34" s="13" t="s">
        <v>21</v>
      </c>
      <c r="B34" s="13" t="s">
        <v>173</v>
      </c>
      <c r="C34" s="14" t="s">
        <v>284</v>
      </c>
    </row>
    <row r="35" customFormat="false" ht="15" hidden="false" customHeight="false" outlineLevel="0" collapsed="false">
      <c r="A35" s="13" t="s">
        <v>21</v>
      </c>
      <c r="B35" s="13" t="s">
        <v>195</v>
      </c>
      <c r="C35" s="14" t="s">
        <v>285</v>
      </c>
    </row>
    <row r="36" customFormat="false" ht="15" hidden="false" customHeight="false" outlineLevel="0" collapsed="false">
      <c r="A36" s="13" t="s">
        <v>21</v>
      </c>
      <c r="B36" s="13" t="s">
        <v>106</v>
      </c>
      <c r="C36" s="14" t="s">
        <v>286</v>
      </c>
    </row>
    <row r="38" customFormat="false" ht="15" hidden="false" customHeight="false" outlineLevel="0" collapsed="false">
      <c r="A38" s="7"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0"/>
    <col collapsed="false" customWidth="true" hidden="false" outlineLevel="0" max="4" min="4" style="1" width="85"/>
  </cols>
  <sheetData>
    <row r="1" customFormat="false" ht="15" hidden="false" customHeight="true" outlineLevel="0" collapsed="false">
      <c r="A1" s="6" t="s">
        <v>288</v>
      </c>
      <c r="B1" s="6" t="s">
        <v>289</v>
      </c>
      <c r="C1" s="6" t="s">
        <v>290</v>
      </c>
      <c r="D1" s="6" t="s">
        <v>291</v>
      </c>
    </row>
    <row r="2" customFormat="false" ht="15" hidden="false" customHeight="true" outlineLevel="0" collapsed="false">
      <c r="A2" s="11" t="s">
        <v>292</v>
      </c>
      <c r="B2" s="11" t="s">
        <v>19</v>
      </c>
      <c r="C2" s="11" t="s">
        <v>293</v>
      </c>
      <c r="D2" s="11" t="s">
        <v>294</v>
      </c>
    </row>
    <row r="3" customFormat="false" ht="15" hidden="false" customHeight="true" outlineLevel="0" collapsed="false">
      <c r="A3" s="11" t="s">
        <v>292</v>
      </c>
      <c r="B3" s="11" t="s">
        <v>20</v>
      </c>
      <c r="C3" s="11" t="s">
        <v>293</v>
      </c>
      <c r="D3" s="11" t="s">
        <v>295</v>
      </c>
    </row>
    <row r="4" customFormat="false" ht="15" hidden="false" customHeight="true" outlineLevel="0" collapsed="false">
      <c r="A4" s="11" t="s">
        <v>292</v>
      </c>
      <c r="B4" s="11" t="s">
        <v>21</v>
      </c>
      <c r="C4" s="11" t="s">
        <v>296</v>
      </c>
      <c r="D4" s="11" t="s">
        <v>297</v>
      </c>
    </row>
    <row r="5" customFormat="false" ht="23.25" hidden="false" customHeight="true" outlineLevel="0" collapsed="false">
      <c r="A5" s="11" t="s">
        <v>292</v>
      </c>
      <c r="B5" s="11" t="s">
        <v>22</v>
      </c>
      <c r="C5" s="11" t="s">
        <v>298</v>
      </c>
      <c r="D5" s="11" t="s">
        <v>299</v>
      </c>
    </row>
    <row r="6" customFormat="false" ht="23.25" hidden="false" customHeight="true" outlineLevel="0" collapsed="false">
      <c r="A6" s="11" t="s">
        <v>292</v>
      </c>
      <c r="B6" s="11" t="s">
        <v>23</v>
      </c>
      <c r="C6" s="11" t="s">
        <v>298</v>
      </c>
      <c r="D6" s="11" t="s">
        <v>300</v>
      </c>
    </row>
    <row r="7" customFormat="false" ht="15" hidden="false" customHeight="true" outlineLevel="0" collapsed="false">
      <c r="A7" s="11" t="s">
        <v>292</v>
      </c>
      <c r="B7" s="11" t="s">
        <v>24</v>
      </c>
      <c r="C7" s="11" t="s">
        <v>301</v>
      </c>
      <c r="D7" s="11" t="s">
        <v>302</v>
      </c>
    </row>
    <row r="8" customFormat="false" ht="15" hidden="false" customHeight="true" outlineLevel="0" collapsed="false">
      <c r="A8" s="11" t="s">
        <v>292</v>
      </c>
      <c r="B8" s="11" t="s">
        <v>25</v>
      </c>
      <c r="C8" s="11" t="s">
        <v>293</v>
      </c>
      <c r="D8" s="11" t="s">
        <v>303</v>
      </c>
    </row>
    <row r="9" customFormat="false" ht="15" hidden="false" customHeight="true" outlineLevel="0" collapsed="false">
      <c r="A9" s="11" t="s">
        <v>292</v>
      </c>
      <c r="B9" s="11" t="s">
        <v>26</v>
      </c>
      <c r="C9" s="11" t="s">
        <v>304</v>
      </c>
      <c r="D9" s="11" t="s">
        <v>305</v>
      </c>
    </row>
    <row r="10" customFormat="false" ht="15" hidden="false" customHeight="true" outlineLevel="0" collapsed="false">
      <c r="A10" s="11" t="s">
        <v>292</v>
      </c>
      <c r="B10" s="11" t="s">
        <v>306</v>
      </c>
      <c r="C10" s="11" t="s">
        <v>307</v>
      </c>
      <c r="D10" s="11" t="s">
        <v>308</v>
      </c>
    </row>
    <row r="11" customFormat="false" ht="15" hidden="false" customHeight="true" outlineLevel="0" collapsed="false">
      <c r="A11" s="11" t="s">
        <v>292</v>
      </c>
      <c r="B11" s="11" t="s">
        <v>28</v>
      </c>
      <c r="C11" s="11" t="s">
        <v>296</v>
      </c>
      <c r="D11" s="11" t="s">
        <v>309</v>
      </c>
    </row>
    <row r="12" customFormat="false" ht="15" hidden="false" customHeight="true" outlineLevel="0" collapsed="false">
      <c r="A12" s="11" t="s">
        <v>292</v>
      </c>
      <c r="B12" s="11" t="s">
        <v>29</v>
      </c>
      <c r="C12" s="11" t="s">
        <v>304</v>
      </c>
      <c r="D12" s="11" t="s">
        <v>310</v>
      </c>
    </row>
    <row r="13" customFormat="false" ht="15" hidden="false" customHeight="true" outlineLevel="0" collapsed="false">
      <c r="A13" s="11" t="s">
        <v>292</v>
      </c>
      <c r="B13" s="11" t="s">
        <v>32</v>
      </c>
      <c r="C13" s="11" t="s">
        <v>301</v>
      </c>
      <c r="D13" s="11" t="s">
        <v>311</v>
      </c>
    </row>
    <row r="14" customFormat="false" ht="15" hidden="false" customHeight="true" outlineLevel="0" collapsed="false">
      <c r="A14" s="11" t="s">
        <v>312</v>
      </c>
      <c r="B14" s="11" t="s">
        <v>313</v>
      </c>
      <c r="C14" s="11" t="s">
        <v>313</v>
      </c>
      <c r="D14" s="11" t="s">
        <v>294</v>
      </c>
    </row>
    <row r="15" customFormat="false" ht="15" hidden="false" customHeight="true" outlineLevel="0" collapsed="false">
      <c r="A15" s="11" t="s">
        <v>312</v>
      </c>
      <c r="B15" s="11" t="s">
        <v>314</v>
      </c>
      <c r="C15" s="11" t="s">
        <v>296</v>
      </c>
      <c r="D15" s="11" t="s">
        <v>315</v>
      </c>
    </row>
    <row r="16" customFormat="false" ht="15" hidden="false" customHeight="true" outlineLevel="0" collapsed="false">
      <c r="A16" s="11" t="s">
        <v>312</v>
      </c>
      <c r="B16" s="11" t="s">
        <v>23</v>
      </c>
      <c r="C16" s="11" t="s">
        <v>296</v>
      </c>
      <c r="D16" s="11" t="s">
        <v>316</v>
      </c>
    </row>
    <row r="17" customFormat="false" ht="15" hidden="false" customHeight="true" outlineLevel="0" collapsed="false">
      <c r="A17" s="11" t="s">
        <v>312</v>
      </c>
      <c r="B17" s="11" t="s">
        <v>317</v>
      </c>
      <c r="C17" s="11" t="s">
        <v>318</v>
      </c>
      <c r="D17" s="11"/>
    </row>
    <row r="18" customFormat="false" ht="15" hidden="false" customHeight="true" outlineLevel="0" collapsed="false">
      <c r="A18" s="11" t="s">
        <v>292</v>
      </c>
      <c r="B18" s="11" t="s">
        <v>33</v>
      </c>
      <c r="C18" s="11" t="s">
        <v>301</v>
      </c>
      <c r="D18" s="11" t="s">
        <v>319</v>
      </c>
    </row>
    <row r="19" customFormat="false" ht="15" hidden="false" customHeight="true" outlineLevel="0" collapsed="false">
      <c r="A19" s="11" t="s">
        <v>292</v>
      </c>
      <c r="B19" s="11" t="s">
        <v>34</v>
      </c>
      <c r="C19" s="11" t="s">
        <v>301</v>
      </c>
      <c r="D19" s="11" t="s">
        <v>320</v>
      </c>
    </row>
    <row r="20" customFormat="false" ht="15" hidden="false" customHeight="true" outlineLevel="0" collapsed="false">
      <c r="A20" s="11" t="s">
        <v>292</v>
      </c>
      <c r="B20" s="11" t="s">
        <v>35</v>
      </c>
      <c r="C20" s="11" t="s">
        <v>301</v>
      </c>
      <c r="D20" s="11" t="s">
        <v>321</v>
      </c>
    </row>
    <row r="21" customFormat="false" ht="15" hidden="false" customHeight="true" outlineLevel="0" collapsed="false">
      <c r="A21" s="11" t="s">
        <v>292</v>
      </c>
      <c r="B21" s="11" t="s">
        <v>36</v>
      </c>
      <c r="C21" s="11" t="s">
        <v>301</v>
      </c>
      <c r="D21" s="11" t="s">
        <v>321</v>
      </c>
    </row>
    <row r="22" customFormat="false" ht="15" hidden="false" customHeight="true" outlineLevel="0" collapsed="false">
      <c r="A22" s="11" t="s">
        <v>292</v>
      </c>
      <c r="B22" s="11" t="s">
        <v>37</v>
      </c>
      <c r="C22" s="11" t="s">
        <v>301</v>
      </c>
      <c r="D22" s="11" t="s">
        <v>321</v>
      </c>
    </row>
    <row r="23" customFormat="false" ht="15" hidden="false" customHeight="true" outlineLevel="0" collapsed="false">
      <c r="A23" s="11" t="s">
        <v>292</v>
      </c>
      <c r="B23" s="11" t="s">
        <v>38</v>
      </c>
      <c r="C23" s="11" t="s">
        <v>301</v>
      </c>
      <c r="D23" s="11" t="s">
        <v>322</v>
      </c>
    </row>
    <row r="24" customFormat="false" ht="15" hidden="false" customHeight="true" outlineLevel="0" collapsed="false">
      <c r="A24" s="11" t="s">
        <v>292</v>
      </c>
      <c r="B24" s="11" t="s">
        <v>39</v>
      </c>
      <c r="C24" s="11" t="s">
        <v>307</v>
      </c>
      <c r="D24" s="11" t="s">
        <v>323</v>
      </c>
    </row>
    <row r="25" customFormat="false" ht="15" hidden="false" customHeight="true" outlineLevel="0" collapsed="false">
      <c r="A25" s="11" t="s">
        <v>292</v>
      </c>
      <c r="B25" s="11" t="s">
        <v>40</v>
      </c>
      <c r="C25" s="11" t="s">
        <v>324</v>
      </c>
      <c r="D25" s="11" t="s">
        <v>325</v>
      </c>
    </row>
    <row r="26" customFormat="false" ht="15" hidden="false" customHeight="false" outlineLevel="0" collapsed="false">
      <c r="A26" s="11" t="s">
        <v>292</v>
      </c>
      <c r="B26" s="11" t="s">
        <v>41</v>
      </c>
      <c r="C26" s="11" t="s">
        <v>293</v>
      </c>
      <c r="D26" s="11" t="s">
        <v>326</v>
      </c>
    </row>
    <row r="27" customFormat="false" ht="15" hidden="false" customHeight="false" outlineLevel="0" collapsed="false">
      <c r="A27" s="11" t="s">
        <v>292</v>
      </c>
      <c r="B27" s="11" t="s">
        <v>42</v>
      </c>
      <c r="C27" s="11" t="s">
        <v>293</v>
      </c>
      <c r="D27" s="11" t="s">
        <v>326</v>
      </c>
    </row>
    <row r="28" customFormat="false" ht="15" hidden="false" customHeight="false" outlineLevel="0" collapsed="false">
      <c r="A28" s="11" t="s">
        <v>292</v>
      </c>
      <c r="B28" s="11" t="s">
        <v>43</v>
      </c>
      <c r="C28" s="11" t="s">
        <v>293</v>
      </c>
      <c r="D28" s="11" t="s">
        <v>326</v>
      </c>
    </row>
    <row r="29" customFormat="false" ht="23.85" hidden="false" customHeight="false" outlineLevel="0" collapsed="false">
      <c r="A29" s="11" t="s">
        <v>292</v>
      </c>
      <c r="B29" s="11" t="s">
        <v>44</v>
      </c>
      <c r="C29" s="11" t="s">
        <v>293</v>
      </c>
      <c r="D29" s="11" t="s">
        <v>326</v>
      </c>
    </row>
    <row r="30" customFormat="false" ht="15" hidden="false" customHeight="false" outlineLevel="0" collapsed="false">
      <c r="A30" s="11" t="s">
        <v>292</v>
      </c>
      <c r="B30" s="11" t="s">
        <v>45</v>
      </c>
      <c r="C30" s="11" t="s">
        <v>293</v>
      </c>
      <c r="D30" s="11" t="s">
        <v>326</v>
      </c>
    </row>
    <row r="31" customFormat="false" ht="15" hidden="false" customHeight="false" outlineLevel="0" collapsed="false">
      <c r="A31" s="11" t="s">
        <v>292</v>
      </c>
      <c r="B31" s="11" t="s">
        <v>46</v>
      </c>
      <c r="C31" s="11" t="s">
        <v>301</v>
      </c>
      <c r="D31" s="11" t="s">
        <v>326</v>
      </c>
    </row>
    <row r="32" customFormat="false" ht="15" hidden="false" customHeight="false" outlineLevel="0" collapsed="false">
      <c r="A32" s="11" t="s">
        <v>292</v>
      </c>
      <c r="B32" s="11" t="s">
        <v>47</v>
      </c>
      <c r="C32" s="11" t="s">
        <v>301</v>
      </c>
      <c r="D32" s="11" t="s">
        <v>326</v>
      </c>
    </row>
    <row r="33" customFormat="false" ht="15" hidden="false" customHeight="false" outlineLevel="0" collapsed="false">
      <c r="A33" s="11" t="s">
        <v>292</v>
      </c>
      <c r="B33" s="11" t="s">
        <v>48</v>
      </c>
      <c r="C33" s="11" t="s">
        <v>301</v>
      </c>
      <c r="D33" s="11" t="s">
        <v>326</v>
      </c>
    </row>
    <row r="34" customFormat="false" ht="15" hidden="false" customHeight="false" outlineLevel="0" collapsed="false">
      <c r="A34" s="11" t="s">
        <v>292</v>
      </c>
      <c r="B34" s="11" t="s">
        <v>49</v>
      </c>
      <c r="C34" s="11" t="s">
        <v>301</v>
      </c>
      <c r="D34" s="11" t="s">
        <v>326</v>
      </c>
    </row>
    <row r="35" customFormat="false" ht="15" hidden="false" customHeight="false" outlineLevel="0" collapsed="false">
      <c r="A35" s="11" t="s">
        <v>292</v>
      </c>
      <c r="B35" s="11" t="s">
        <v>50</v>
      </c>
      <c r="C35" s="11" t="s">
        <v>301</v>
      </c>
      <c r="D35" s="11" t="s">
        <v>326</v>
      </c>
    </row>
    <row r="36" customFormat="false" ht="15" hidden="false" customHeight="false" outlineLevel="0" collapsed="false">
      <c r="A36" s="11" t="s">
        <v>292</v>
      </c>
      <c r="B36" s="11" t="s">
        <v>51</v>
      </c>
      <c r="C36" s="11" t="s">
        <v>293</v>
      </c>
      <c r="D36" s="11"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0"/>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6" min="6" style="1" width="12"/>
  </cols>
  <sheetData>
    <row r="1" customFormat="false" ht="15" hidden="false" customHeight="true" outlineLevel="0" collapsed="false">
      <c r="A1" s="6" t="s">
        <v>327</v>
      </c>
      <c r="B1" s="6" t="s">
        <v>328</v>
      </c>
      <c r="C1" s="6" t="s">
        <v>329</v>
      </c>
      <c r="D1" s="6" t="s">
        <v>330</v>
      </c>
      <c r="E1" s="6" t="s">
        <v>28</v>
      </c>
      <c r="F1" s="6" t="s">
        <v>331</v>
      </c>
    </row>
    <row r="2" customFormat="false" ht="15" hidden="false" customHeight="true" outlineLevel="0" collapsed="false">
      <c r="A2" s="11" t="s">
        <v>332</v>
      </c>
      <c r="B2" s="11" t="s">
        <v>333</v>
      </c>
      <c r="C2" s="11" t="s">
        <v>334</v>
      </c>
      <c r="D2" s="8" t="n">
        <v>0.5</v>
      </c>
      <c r="E2" s="8" t="s">
        <v>335</v>
      </c>
      <c r="F2" s="8" t="n">
        <v>0</v>
      </c>
    </row>
    <row r="3" customFormat="false" ht="23.25" hidden="false" customHeight="true" outlineLevel="0" collapsed="false">
      <c r="A3" s="11" t="s">
        <v>332</v>
      </c>
      <c r="B3" s="11" t="s">
        <v>336</v>
      </c>
      <c r="C3" s="11" t="s">
        <v>337</v>
      </c>
      <c r="D3" s="8" t="n">
        <v>0.5</v>
      </c>
      <c r="E3" s="8" t="s">
        <v>335</v>
      </c>
      <c r="F3" s="8" t="n">
        <v>0</v>
      </c>
    </row>
    <row r="4" customFormat="false" ht="15" hidden="false" customHeight="true" outlineLevel="0" collapsed="false">
      <c r="A4" s="11" t="s">
        <v>338</v>
      </c>
      <c r="B4" s="11" t="s">
        <v>339</v>
      </c>
      <c r="C4" s="11" t="s">
        <v>340</v>
      </c>
      <c r="D4" s="8" t="n">
        <v>0.5</v>
      </c>
      <c r="E4" s="8" t="s">
        <v>335</v>
      </c>
      <c r="F4" s="8" t="n">
        <v>0</v>
      </c>
    </row>
    <row r="5" customFormat="false" ht="15" hidden="false" customHeight="true" outlineLevel="0" collapsed="false">
      <c r="A5" s="11" t="s">
        <v>338</v>
      </c>
      <c r="B5" s="11" t="s">
        <v>341</v>
      </c>
      <c r="C5" s="11" t="s">
        <v>340</v>
      </c>
      <c r="D5" s="8" t="n">
        <v>0.25</v>
      </c>
      <c r="E5" s="8" t="s">
        <v>335</v>
      </c>
      <c r="F5" s="8" t="n">
        <v>0</v>
      </c>
    </row>
    <row r="6" customFormat="false" ht="15" hidden="false" customHeight="true" outlineLevel="0" collapsed="false">
      <c r="A6" s="11" t="s">
        <v>338</v>
      </c>
      <c r="B6" s="11" t="s">
        <v>342</v>
      </c>
      <c r="C6" s="11" t="s">
        <v>343</v>
      </c>
      <c r="D6" s="8" t="n">
        <v>0.25</v>
      </c>
      <c r="E6" s="8" t="s">
        <v>335</v>
      </c>
      <c r="F6" s="8" t="n">
        <v>0</v>
      </c>
    </row>
    <row r="7" customFormat="false" ht="15" hidden="false" customHeight="true" outlineLevel="0" collapsed="false">
      <c r="A7" s="11" t="s">
        <v>344</v>
      </c>
      <c r="B7" s="11" t="s">
        <v>345</v>
      </c>
      <c r="C7" s="11" t="s">
        <v>346</v>
      </c>
      <c r="D7" s="8" t="n">
        <v>0.5</v>
      </c>
      <c r="E7" s="8" t="s">
        <v>335</v>
      </c>
      <c r="F7" s="8" t="n">
        <v>0</v>
      </c>
    </row>
    <row r="8" customFormat="false" ht="15" hidden="false" customHeight="true" outlineLevel="0" collapsed="false">
      <c r="A8" s="11" t="s">
        <v>344</v>
      </c>
      <c r="B8" s="11" t="s">
        <v>347</v>
      </c>
      <c r="C8" s="11" t="s">
        <v>348</v>
      </c>
      <c r="D8" s="8" t="n">
        <v>0.5</v>
      </c>
      <c r="E8" s="8" t="s">
        <v>335</v>
      </c>
      <c r="F8" s="8" t="n">
        <v>0</v>
      </c>
    </row>
    <row r="9" customFormat="false" ht="15" hidden="false" customHeight="true" outlineLevel="0" collapsed="false">
      <c r="B9" s="15" t="s">
        <v>349</v>
      </c>
      <c r="D9" s="15" t="n">
        <f aca="false">SUM(D2:D8)</f>
        <v>3</v>
      </c>
      <c r="F9" s="15" t="n">
        <f aca="false">SUM(F2:F8)</f>
        <v>0</v>
      </c>
    </row>
    <row r="10" customFormat="false" ht="15" hidden="false" customHeight="true" outlineLevel="0" collapsed="false">
      <c r="B10" s="15" t="s">
        <v>350</v>
      </c>
      <c r="D10" s="16" t="n">
        <f aca="false">IF(D9=0,0,F9/D9)</f>
        <v>0</v>
      </c>
      <c r="F10" s="15"/>
    </row>
    <row r="11" customFormat="false" ht="15" hidden="false" customHeight="true" outlineLevel="0" collapsed="false">
      <c r="B11" s="15" t="s">
        <v>351</v>
      </c>
      <c r="D11" s="15" t="n">
        <f aca="false">COUNTIF(E2:E8,"Готово")</f>
        <v>0</v>
      </c>
      <c r="F11" s="15"/>
    </row>
    <row r="13" customFormat="false" ht="15" hidden="false" customHeight="true" outlineLevel="0" collapsed="false">
      <c r="B13" s="17" t="s">
        <v>352</v>
      </c>
    </row>
  </sheetData>
  <dataValidations count="1">
    <dataValidation allowBlank="false" errorStyle="stop" operator="between" showDropDown="false" showErrorMessage="false" showInputMessage="false" sqref="E2:E8" type="list">
      <formula1>"Не начато,В работе,Готово"</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6"/>
    <col collapsed="false" customWidth="true" hidden="false" outlineLevel="0" max="3" min="3" style="1" width="44"/>
  </cols>
  <sheetData>
    <row r="1" customFormat="false" ht="15.75" hidden="false" customHeight="true" outlineLevel="0" collapsed="false">
      <c r="A1" s="18" t="s">
        <v>353</v>
      </c>
    </row>
    <row r="3" customFormat="false" ht="15" hidden="false" customHeight="true" outlineLevel="0" collapsed="false">
      <c r="A3" s="6" t="s">
        <v>354</v>
      </c>
      <c r="B3" s="6" t="s">
        <v>355</v>
      </c>
      <c r="C3" s="6" t="s">
        <v>356</v>
      </c>
    </row>
    <row r="4" customFormat="false" ht="15" hidden="false" customHeight="true" outlineLevel="0" collapsed="false">
      <c r="A4" s="11" t="s">
        <v>357</v>
      </c>
      <c r="B4" s="8" t="n">
        <v>0</v>
      </c>
      <c r="C4" s="11" t="s">
        <v>358</v>
      </c>
    </row>
    <row r="5" customFormat="false" ht="15" hidden="false" customHeight="true" outlineLevel="0" collapsed="false">
      <c r="A5" s="11" t="s">
        <v>359</v>
      </c>
      <c r="B5" s="8" t="n">
        <v>0</v>
      </c>
      <c r="C5" s="11" t="s">
        <v>360</v>
      </c>
    </row>
    <row r="6" customFormat="false" ht="15" hidden="false" customHeight="true" outlineLevel="0" collapsed="false">
      <c r="A6" s="11" t="s">
        <v>361</v>
      </c>
      <c r="B6" s="8" t="n">
        <v>0</v>
      </c>
      <c r="C6" s="11" t="s">
        <v>362</v>
      </c>
    </row>
    <row r="7" customFormat="false" ht="15" hidden="false" customHeight="true" outlineLevel="0" collapsed="false">
      <c r="A7" s="11" t="s">
        <v>363</v>
      </c>
      <c r="B7" s="8" t="n">
        <v>0</v>
      </c>
      <c r="C7" s="11" t="s">
        <v>364</v>
      </c>
    </row>
    <row r="8" customFormat="false" ht="15" hidden="false" customHeight="true" outlineLevel="0" collapsed="false">
      <c r="A8" s="11" t="s">
        <v>365</v>
      </c>
      <c r="B8" s="19" t="n">
        <v>0</v>
      </c>
      <c r="C8" s="11" t="s">
        <v>366</v>
      </c>
    </row>
    <row r="10" customFormat="false" ht="15" hidden="false" customHeight="true" outlineLevel="0" collapsed="false">
      <c r="A10" s="15" t="s">
        <v>367</v>
      </c>
    </row>
    <row r="11" customFormat="false" ht="15" hidden="false" customHeight="true" outlineLevel="0" collapsed="false">
      <c r="A11" s="6" t="s">
        <v>368</v>
      </c>
      <c r="B11" s="6" t="s">
        <v>355</v>
      </c>
      <c r="C11" s="6" t="s">
        <v>369</v>
      </c>
    </row>
    <row r="12" customFormat="false" ht="15" hidden="false" customHeight="true" outlineLevel="0" collapsed="false">
      <c r="A12" s="11" t="s">
        <v>370</v>
      </c>
      <c r="B12" s="20" t="n">
        <f aca="false">IF(B4=0,0,B5/B4)</f>
        <v>0</v>
      </c>
      <c r="C12" s="11" t="s">
        <v>371</v>
      </c>
    </row>
    <row r="13" customFormat="false" ht="15" hidden="false" customHeight="true" outlineLevel="0" collapsed="false">
      <c r="A13" s="11" t="s">
        <v>372</v>
      </c>
      <c r="B13" s="20" t="n">
        <f aca="false">IF(B4=0,0,B6/B4)</f>
        <v>0</v>
      </c>
      <c r="C13" s="11" t="s">
        <v>373</v>
      </c>
    </row>
    <row r="14" customFormat="false" ht="15" hidden="false" customHeight="true" outlineLevel="0" collapsed="false">
      <c r="A14" s="11" t="s">
        <v>374</v>
      </c>
      <c r="B14" s="20" t="n">
        <f aca="false">IF(B5=0,0,B7/B5)</f>
        <v>0</v>
      </c>
      <c r="C14" s="11" t="s">
        <v>375</v>
      </c>
    </row>
    <row r="15" customFormat="false" ht="15" hidden="false" customHeight="true" outlineLevel="0" collapsed="false">
      <c r="A15" s="11" t="s">
        <v>376</v>
      </c>
      <c r="B15" s="21" t="n">
        <f aca="false">B7*B8</f>
        <v>0</v>
      </c>
      <c r="C15" s="11" t="s">
        <v>377</v>
      </c>
    </row>
    <row r="16" customFormat="false" ht="15" hidden="false" customHeight="true" outlineLevel="0" collapsed="false">
      <c r="A16" s="11" t="s">
        <v>378</v>
      </c>
      <c r="B16" s="22" t="n">
        <f aca="false">IF(B4=0,0,B15/B4)</f>
        <v>0</v>
      </c>
      <c r="C16" s="11" t="s">
        <v>379</v>
      </c>
    </row>
    <row r="18" customFormat="false" ht="15" hidden="false" customHeight="true" outlineLevel="0" collapsed="false">
      <c r="A18" s="15" t="s">
        <v>380</v>
      </c>
    </row>
    <row r="19" customFormat="false" ht="15" hidden="false" customHeight="true" outlineLevel="0" collapsed="false">
      <c r="A19" s="6" t="s">
        <v>368</v>
      </c>
      <c r="B19" s="6" t="s">
        <v>355</v>
      </c>
      <c r="C19" s="6" t="s">
        <v>369</v>
      </c>
    </row>
    <row r="20" customFormat="false" ht="15" hidden="false" customHeight="true" outlineLevel="0" collapsed="false">
      <c r="A20" s="11" t="s">
        <v>381</v>
      </c>
      <c r="B20" s="11" t="n">
        <f aca="false">COUNTA(Программы!A2:A51)</f>
        <v>8</v>
      </c>
      <c r="C20" s="11" t="s">
        <v>382</v>
      </c>
    </row>
    <row r="21" customFormat="false" ht="15" hidden="false" customHeight="true" outlineLevel="0" collapsed="false">
      <c r="A21" s="11" t="s">
        <v>61</v>
      </c>
      <c r="B21" s="11" t="n">
        <f aca="false">COUNTIF(Программы!J2:J51,"Опубликовано")</f>
        <v>7</v>
      </c>
      <c r="C21" s="11" t="s">
        <v>383</v>
      </c>
    </row>
    <row r="22" customFormat="false" ht="15" hidden="false" customHeight="true" outlineLevel="0" collapsed="false">
      <c r="A22" s="11" t="s">
        <v>384</v>
      </c>
      <c r="B22" s="11" t="n">
        <f aca="false">COUNTIF(Программы!M2:M51,"Скоро дедлайн")</f>
        <v>0</v>
      </c>
      <c r="C22" s="11" t="s">
        <v>31</v>
      </c>
    </row>
    <row r="23" customFormat="false" ht="15" hidden="false" customHeight="true" outlineLevel="0" collapsed="false">
      <c r="A23" s="11" t="s">
        <v>385</v>
      </c>
      <c r="B23" s="11" t="n">
        <f aca="false">COUNTIF(Программы!M2:M51,"Истёк")</f>
        <v>0</v>
      </c>
      <c r="C23" s="11" t="s">
        <v>31</v>
      </c>
    </row>
    <row r="24" customFormat="false" ht="15" hidden="false" customHeight="true" outlineLevel="0" collapsed="false">
      <c r="A24" s="11" t="s">
        <v>386</v>
      </c>
      <c r="B24" s="11" t="n">
        <f aca="false">COUNTIF(Программы!C2:C51,"Грант")</f>
        <v>2</v>
      </c>
      <c r="C24" s="11" t="s">
        <v>387</v>
      </c>
    </row>
    <row r="25" customFormat="false" ht="15" hidden="false" customHeight="true" outlineLevel="0" collapsed="false">
      <c r="A25" s="11" t="s">
        <v>388</v>
      </c>
      <c r="B25" s="11" t="n">
        <f aca="false">COUNTIF(Программы!C2:C51,"Субсидия ставки")</f>
        <v>1</v>
      </c>
      <c r="C25" s="11" t="s">
        <v>389</v>
      </c>
    </row>
    <row r="26" customFormat="false" ht="15" hidden="false" customHeight="true" outlineLevel="0" collapsed="false">
      <c r="A26" s="11" t="s">
        <v>390</v>
      </c>
      <c r="B26" s="11" t="n">
        <f aca="false">COUNTIF(Программы!C2:C51,"Льготный кредит")</f>
        <v>1</v>
      </c>
      <c r="C26" s="11" t="s">
        <v>391</v>
      </c>
    </row>
    <row r="27" customFormat="false" ht="15" hidden="false" customHeight="true" outlineLevel="0" collapsed="false">
      <c r="A27" s="11" t="s">
        <v>392</v>
      </c>
      <c r="B27" s="11" t="n">
        <f aca="false">COUNTIF(Программы!D2:D51,"Алматы")+COUNTIF(Программы!D2:D51,"Вся РК")</f>
        <v>8</v>
      </c>
      <c r="C27" s="11" t="s">
        <v>393</v>
      </c>
    </row>
    <row r="28" customFormat="false" ht="15" hidden="false" customHeight="true" outlineLevel="0" collapsed="false">
      <c r="A28" s="11" t="s">
        <v>394</v>
      </c>
      <c r="B28" s="11" t="n">
        <f aca="false">COUNTIF(Программы!D2:D51,"Алматы")</f>
        <v>1</v>
      </c>
      <c r="C28" s="11" t="s">
        <v>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2026-10-03T21:42:06Z</dcterms:created>
  <dc:creator>openpyxl</dc:creator>
  <dc:description/>
  <dc:language>en-US</dc:language>
  <cp:lastModifiedBy/>
  <dcterms:modified xsi:type="dcterms:W3CDTF">2026-10-03T22:32:12Z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